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\\MMI-SERVER\share1\社長室\20-社長室\99_檜垣保存ファイル_20181223\経営管理部_いろいろ\"/>
    </mc:Choice>
  </mc:AlternateContent>
  <xr:revisionPtr revIDLastSave="0" documentId="13_ncr:1_{2BC70F28-61F8-4116-AEE8-21A9CFF66ADB}" xr6:coauthVersionLast="46" xr6:coauthVersionMax="46" xr10:uidLastSave="{00000000-0000-0000-0000-000000000000}"/>
  <bookViews>
    <workbookView xWindow="-120" yWindow="-120" windowWidth="29040" windowHeight="15840" tabRatio="808" xr2:uid="{00000000-000D-0000-FFFF-FFFF00000000}"/>
  </bookViews>
  <sheets>
    <sheet name="11月" sheetId="67" r:id="rId1"/>
    <sheet name="10月" sheetId="66" r:id="rId2"/>
    <sheet name="9月" sheetId="65" r:id="rId3"/>
    <sheet name="8月" sheetId="64" r:id="rId4"/>
    <sheet name="7月" sheetId="63" r:id="rId5"/>
    <sheet name="6月" sheetId="62" r:id="rId6"/>
    <sheet name="5月" sheetId="60" r:id="rId7"/>
    <sheet name="①間接部門（一般社員・契約社員）" sheetId="45" r:id="rId8"/>
    <sheet name="①記入例" sheetId="58" r:id="rId9"/>
    <sheet name="②間接部門（チーフ以上）、営業部長・エリア長" sheetId="42" r:id="rId10"/>
    <sheet name="②記入例" sheetId="57" r:id="rId11"/>
    <sheet name="③間接部門（時給者）" sheetId="47" r:id="rId12"/>
    <sheet name="③記入例" sheetId="59" r:id="rId13"/>
    <sheet name="5月 (2)" sheetId="61" r:id="rId14"/>
  </sheets>
  <definedNames>
    <definedName name="_xlnm.Print_Area" localSheetId="1">'10月'!$A$1:$O$45</definedName>
    <definedName name="_xlnm.Print_Area" localSheetId="0">'11月'!$A$1:$O$45</definedName>
    <definedName name="_xlnm.Print_Area" localSheetId="7">'①間接部門（一般社員・契約社員）'!$A$1:$O$45</definedName>
    <definedName name="_xlnm.Print_Area" localSheetId="8">①記入例!$A$1:$O$45</definedName>
    <definedName name="_xlnm.Print_Area" localSheetId="9">'②間接部門（チーフ以上）、営業部長・エリア長'!$A$1:$M$45</definedName>
    <definedName name="_xlnm.Print_Area" localSheetId="10">②記入例!$A$1:$M$45</definedName>
    <definedName name="_xlnm.Print_Area" localSheetId="11">'③間接部門（時給者）'!$A$1:$J$40</definedName>
    <definedName name="_xlnm.Print_Area" localSheetId="12">③記入例!$A$1:$J$40</definedName>
    <definedName name="_xlnm.Print_Area" localSheetId="6">'5月'!$A$1:$O$44</definedName>
    <definedName name="_xlnm.Print_Area" localSheetId="13">'5月 (2)'!$A$1:$O$44</definedName>
    <definedName name="_xlnm.Print_Area" localSheetId="5">'6月'!$A$1:$O$45</definedName>
    <definedName name="_xlnm.Print_Area" localSheetId="4">'7月'!$A$1:$O$45</definedName>
    <definedName name="_xlnm.Print_Area" localSheetId="3">'8月'!$A$1:$O$45</definedName>
    <definedName name="_xlnm.Print_Area" localSheetId="2">'9月'!$A$1:$O$45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67" l="1"/>
  <c r="A32" i="67" s="1"/>
  <c r="A33" i="67" s="1"/>
  <c r="A34" i="67" s="1"/>
  <c r="A30" i="67"/>
  <c r="A29" i="67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J7" i="67"/>
  <c r="J8" i="67" s="1"/>
  <c r="J9" i="67" s="1"/>
  <c r="J10" i="67" s="1"/>
  <c r="J11" i="67" s="1"/>
  <c r="J12" i="67" s="1"/>
  <c r="J13" i="67" s="1"/>
  <c r="J14" i="67" s="1"/>
  <c r="J15" i="67" s="1"/>
  <c r="J16" i="67" s="1"/>
  <c r="J17" i="67" s="1"/>
  <c r="J18" i="67" s="1"/>
  <c r="J19" i="67" s="1"/>
  <c r="J20" i="67" s="1"/>
  <c r="J21" i="67" s="1"/>
  <c r="J22" i="67" s="1"/>
  <c r="J23" i="67" s="1"/>
  <c r="J24" i="67" s="1"/>
  <c r="J25" i="67" s="1"/>
  <c r="J26" i="67" s="1"/>
  <c r="A7" i="67"/>
  <c r="J6" i="67"/>
  <c r="A29" i="66" l="1"/>
  <c r="A30" i="66" s="1"/>
  <c r="A31" i="66" s="1"/>
  <c r="A32" i="66" s="1"/>
  <c r="A33" i="66" s="1"/>
  <c r="A34" i="66" s="1"/>
  <c r="J7" i="66"/>
  <c r="J8" i="66" s="1"/>
  <c r="J9" i="66" s="1"/>
  <c r="J10" i="66" s="1"/>
  <c r="J11" i="66" s="1"/>
  <c r="J12" i="66" s="1"/>
  <c r="J13" i="66" s="1"/>
  <c r="J14" i="66" s="1"/>
  <c r="J15" i="66" s="1"/>
  <c r="J16" i="66" s="1"/>
  <c r="J17" i="66" s="1"/>
  <c r="J18" i="66" s="1"/>
  <c r="J19" i="66" s="1"/>
  <c r="J20" i="66" s="1"/>
  <c r="J21" i="66" s="1"/>
  <c r="J22" i="66" s="1"/>
  <c r="J23" i="66" s="1"/>
  <c r="J24" i="66" s="1"/>
  <c r="J25" i="66" s="1"/>
  <c r="J26" i="66" s="1"/>
  <c r="A7" i="66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J6" i="66"/>
  <c r="A29" i="65" l="1"/>
  <c r="A30" i="65" s="1"/>
  <c r="A31" i="65" s="1"/>
  <c r="A32" i="65" s="1"/>
  <c r="A33" i="65" s="1"/>
  <c r="A34" i="65" s="1"/>
  <c r="A7" i="65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J6" i="65"/>
  <c r="J7" i="65" s="1"/>
  <c r="J8" i="65" s="1"/>
  <c r="J9" i="65" s="1"/>
  <c r="J10" i="65" s="1"/>
  <c r="J11" i="65" s="1"/>
  <c r="J12" i="65" s="1"/>
  <c r="J13" i="65" s="1"/>
  <c r="J14" i="65" s="1"/>
  <c r="J15" i="65" s="1"/>
  <c r="J16" i="65" s="1"/>
  <c r="J17" i="65" s="1"/>
  <c r="J18" i="65" s="1"/>
  <c r="J19" i="65" s="1"/>
  <c r="J20" i="65" s="1"/>
  <c r="J21" i="65" s="1"/>
  <c r="J22" i="65" s="1"/>
  <c r="J23" i="65" s="1"/>
  <c r="J24" i="65" s="1"/>
  <c r="J25" i="65" s="1"/>
  <c r="J26" i="65" s="1"/>
  <c r="A29" i="64" l="1"/>
  <c r="A30" i="64" s="1"/>
  <c r="A31" i="64" s="1"/>
  <c r="A32" i="64" s="1"/>
  <c r="A33" i="64" s="1"/>
  <c r="A34" i="64" s="1"/>
  <c r="A7" i="64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J6" i="64"/>
  <c r="J7" i="64" s="1"/>
  <c r="J8" i="64" s="1"/>
  <c r="J9" i="64" s="1"/>
  <c r="J10" i="64" s="1"/>
  <c r="J11" i="64" s="1"/>
  <c r="J12" i="64" s="1"/>
  <c r="J13" i="64" s="1"/>
  <c r="J14" i="64" s="1"/>
  <c r="J15" i="64" s="1"/>
  <c r="J16" i="64" s="1"/>
  <c r="J17" i="64" s="1"/>
  <c r="J18" i="64" s="1"/>
  <c r="J19" i="64" s="1"/>
  <c r="J20" i="64" s="1"/>
  <c r="J21" i="64" s="1"/>
  <c r="J22" i="64" s="1"/>
  <c r="J23" i="64" s="1"/>
  <c r="A29" i="63" l="1"/>
  <c r="A30" i="63" s="1"/>
  <c r="A31" i="63" s="1"/>
  <c r="A32" i="63" s="1"/>
  <c r="A33" i="63" s="1"/>
  <c r="A34" i="63" s="1"/>
  <c r="J28" i="63"/>
  <c r="J29" i="63" s="1"/>
  <c r="J30" i="63" s="1"/>
  <c r="J31" i="63" s="1"/>
  <c r="J32" i="63" s="1"/>
  <c r="J33" i="63" s="1"/>
  <c r="J34" i="63" s="1"/>
  <c r="J36" i="63" s="1"/>
  <c r="A7" i="63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J6" i="63"/>
  <c r="J7" i="63" s="1"/>
  <c r="J8" i="63" s="1"/>
  <c r="J9" i="63" s="1"/>
  <c r="J10" i="63" s="1"/>
  <c r="J11" i="63" s="1"/>
  <c r="J12" i="63" s="1"/>
  <c r="J13" i="63" s="1"/>
  <c r="J14" i="63" s="1"/>
  <c r="J15" i="63" s="1"/>
  <c r="J16" i="63" s="1"/>
  <c r="J17" i="63" s="1"/>
  <c r="J18" i="63" s="1"/>
  <c r="J19" i="63" s="1"/>
  <c r="J20" i="63" s="1"/>
  <c r="J21" i="63" s="1"/>
  <c r="J22" i="63" s="1"/>
  <c r="J23" i="63" s="1"/>
  <c r="A29" i="62" l="1"/>
  <c r="A30" i="62" s="1"/>
  <c r="A31" i="62" s="1"/>
  <c r="A32" i="62" s="1"/>
  <c r="A33" i="62" s="1"/>
  <c r="A34" i="62" s="1"/>
  <c r="J28" i="62"/>
  <c r="J29" i="62" s="1"/>
  <c r="J30" i="62" s="1"/>
  <c r="J31" i="62" s="1"/>
  <c r="J32" i="62" s="1"/>
  <c r="J33" i="62" s="1"/>
  <c r="J34" i="62" s="1"/>
  <c r="J36" i="62" s="1"/>
  <c r="A7" i="62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J6" i="62"/>
  <c r="J7" i="62" s="1"/>
  <c r="J8" i="62" s="1"/>
  <c r="J9" i="62" s="1"/>
  <c r="J10" i="62" s="1"/>
  <c r="J11" i="62" s="1"/>
  <c r="J12" i="62" s="1"/>
  <c r="J13" i="62" s="1"/>
  <c r="J14" i="62" s="1"/>
  <c r="J15" i="62" s="1"/>
  <c r="J16" i="62" s="1"/>
  <c r="J17" i="62" s="1"/>
  <c r="J18" i="62" s="1"/>
  <c r="J19" i="62" s="1"/>
  <c r="J20" i="62" s="1"/>
  <c r="J21" i="62" s="1"/>
  <c r="J22" i="62" s="1"/>
  <c r="J23" i="62" s="1"/>
  <c r="J27" i="60" l="1"/>
  <c r="J28" i="60" s="1"/>
  <c r="J29" i="60" s="1"/>
  <c r="J6" i="60" l="1"/>
  <c r="J7" i="60" s="1"/>
  <c r="A7" i="60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8" i="60" s="1"/>
  <c r="A29" i="60" s="1"/>
  <c r="A30" i="60" s="1"/>
  <c r="A31" i="60" s="1"/>
  <c r="A32" i="60" s="1"/>
  <c r="A33" i="60" s="1"/>
  <c r="J8" i="60" l="1"/>
  <c r="J9" i="60" s="1"/>
  <c r="J10" i="60" s="1"/>
  <c r="J11" i="60" s="1"/>
  <c r="J12" i="60" s="1"/>
  <c r="J13" i="60" s="1"/>
  <c r="J28" i="61"/>
  <c r="J29" i="61" s="1"/>
  <c r="J30" i="61" s="1"/>
  <c r="J31" i="61" s="1"/>
  <c r="J32" i="61" s="1"/>
  <c r="J33" i="61" s="1"/>
  <c r="J34" i="61" s="1"/>
  <c r="J35" i="61" s="1"/>
  <c r="A28" i="61"/>
  <c r="A29" i="61" s="1"/>
  <c r="A30" i="61" s="1"/>
  <c r="A31" i="61" s="1"/>
  <c r="A32" i="61" s="1"/>
  <c r="A33" i="61" s="1"/>
  <c r="A34" i="61" s="1"/>
  <c r="A35" i="61" s="1"/>
  <c r="A7" i="6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J6" i="61"/>
  <c r="J7" i="61" s="1"/>
  <c r="J8" i="61" s="1"/>
  <c r="J9" i="61" s="1"/>
  <c r="J10" i="61" s="1"/>
  <c r="J11" i="61" s="1"/>
  <c r="J12" i="61" s="1"/>
  <c r="J13" i="61" s="1"/>
  <c r="J14" i="61" s="1"/>
  <c r="J15" i="61" s="1"/>
  <c r="J16" i="61" s="1"/>
  <c r="J17" i="61" s="1"/>
  <c r="J18" i="61" s="1"/>
  <c r="J19" i="61" s="1"/>
  <c r="J20" i="61" s="1"/>
  <c r="J21" i="61" s="1"/>
  <c r="J22" i="61" s="1"/>
  <c r="J23" i="61" s="1"/>
  <c r="J24" i="61" s="1"/>
  <c r="J25" i="61" s="1"/>
  <c r="J30" i="60"/>
  <c r="J31" i="60" s="1"/>
  <c r="J32" i="60" s="1"/>
  <c r="J33" i="60" s="1"/>
  <c r="J35" i="60" s="1"/>
  <c r="J14" i="60" l="1"/>
  <c r="J15" i="60" s="1"/>
  <c r="J16" i="60" s="1"/>
  <c r="J17" i="60" s="1"/>
  <c r="J18" i="60" s="1"/>
  <c r="J19" i="60" s="1"/>
  <c r="J20" i="60" s="1"/>
  <c r="J21" i="60" s="1"/>
  <c r="A6" i="59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B5" i="59"/>
  <c r="B6" i="59" s="1"/>
  <c r="B7" i="59" s="1"/>
  <c r="B8" i="59" s="1"/>
  <c r="B9" i="59" s="1"/>
  <c r="B10" i="59" s="1"/>
  <c r="B11" i="59" s="1"/>
  <c r="B12" i="59" s="1"/>
  <c r="B13" i="59" s="1"/>
  <c r="B14" i="59" s="1"/>
  <c r="B15" i="59" s="1"/>
  <c r="B16" i="59" s="1"/>
  <c r="B17" i="59" s="1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A7" i="58"/>
  <c r="A8" i="58" s="1"/>
  <c r="J6" i="58"/>
  <c r="J7" i="58" s="1"/>
  <c r="J8" i="58" s="1"/>
  <c r="J9" i="58" s="1"/>
  <c r="J10" i="58" s="1"/>
  <c r="J11" i="58" s="1"/>
  <c r="J12" i="58" s="1"/>
  <c r="J13" i="58" s="1"/>
  <c r="J14" i="58" s="1"/>
  <c r="J15" i="58" s="1"/>
  <c r="J16" i="58" s="1"/>
  <c r="J17" i="58" s="1"/>
  <c r="J18" i="58" s="1"/>
  <c r="J19" i="58" s="1"/>
  <c r="J20" i="58" s="1"/>
  <c r="J21" i="58" s="1"/>
  <c r="J22" i="58" s="1"/>
  <c r="J23" i="58" s="1"/>
  <c r="J24" i="58" s="1"/>
  <c r="J25" i="58" s="1"/>
  <c r="J26" i="58" s="1"/>
  <c r="J27" i="58" s="1"/>
  <c r="J28" i="58" s="1"/>
  <c r="J29" i="58" s="1"/>
  <c r="J30" i="58" s="1"/>
  <c r="J31" i="58" s="1"/>
  <c r="J32" i="58" s="1"/>
  <c r="J33" i="58" s="1"/>
  <c r="J34" i="58" s="1"/>
  <c r="J35" i="58" s="1"/>
  <c r="J36" i="58" s="1"/>
  <c r="B6" i="58"/>
  <c r="A8" i="57"/>
  <c r="B8" i="57" s="1"/>
  <c r="I7" i="57"/>
  <c r="I8" i="57" s="1"/>
  <c r="I9" i="57" s="1"/>
  <c r="I10" i="57" s="1"/>
  <c r="I11" i="57" s="1"/>
  <c r="I12" i="57" s="1"/>
  <c r="I13" i="57" s="1"/>
  <c r="I14" i="57" s="1"/>
  <c r="I15" i="57" s="1"/>
  <c r="I16" i="57" s="1"/>
  <c r="I17" i="57" s="1"/>
  <c r="I18" i="57" s="1"/>
  <c r="I19" i="57" s="1"/>
  <c r="I20" i="57" s="1"/>
  <c r="I21" i="57" s="1"/>
  <c r="I22" i="57" s="1"/>
  <c r="I23" i="57" s="1"/>
  <c r="I24" i="57" s="1"/>
  <c r="I25" i="57" s="1"/>
  <c r="I26" i="57" s="1"/>
  <c r="I27" i="57" s="1"/>
  <c r="I28" i="57" s="1"/>
  <c r="I29" i="57" s="1"/>
  <c r="I30" i="57" s="1"/>
  <c r="I31" i="57" s="1"/>
  <c r="I32" i="57" s="1"/>
  <c r="I33" i="57" s="1"/>
  <c r="I34" i="57" s="1"/>
  <c r="I35" i="57" s="1"/>
  <c r="I36" i="57" s="1"/>
  <c r="I37" i="57" s="1"/>
  <c r="B7" i="57"/>
  <c r="J22" i="60" l="1"/>
  <c r="J23" i="60" s="1"/>
  <c r="B7" i="58"/>
  <c r="A9" i="58"/>
  <c r="B8" i="58"/>
  <c r="A9" i="57"/>
  <c r="B9" i="57" s="1"/>
  <c r="B5" i="47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A6" i="47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J6" i="45"/>
  <c r="J7" i="45" s="1"/>
  <c r="J8" i="45" s="1"/>
  <c r="J9" i="45" s="1"/>
  <c r="J10" i="45" s="1"/>
  <c r="J11" i="45" s="1"/>
  <c r="J12" i="45" s="1"/>
  <c r="J13" i="45" s="1"/>
  <c r="J14" i="45" s="1"/>
  <c r="J15" i="45" s="1"/>
  <c r="J16" i="45" s="1"/>
  <c r="J17" i="45" s="1"/>
  <c r="J18" i="45" s="1"/>
  <c r="J19" i="45" s="1"/>
  <c r="J20" i="45" s="1"/>
  <c r="J21" i="45" s="1"/>
  <c r="J22" i="45" s="1"/>
  <c r="J23" i="45" s="1"/>
  <c r="J24" i="45" s="1"/>
  <c r="J25" i="45" s="1"/>
  <c r="J26" i="45" s="1"/>
  <c r="J27" i="45" s="1"/>
  <c r="J28" i="45" s="1"/>
  <c r="J29" i="45" s="1"/>
  <c r="J30" i="45" s="1"/>
  <c r="J31" i="45" s="1"/>
  <c r="J32" i="45" s="1"/>
  <c r="J33" i="45" s="1"/>
  <c r="J34" i="45" s="1"/>
  <c r="J35" i="45" s="1"/>
  <c r="J36" i="45" s="1"/>
  <c r="A7" i="45"/>
  <c r="A8" i="45" s="1"/>
  <c r="A8" i="42"/>
  <c r="A9" i="42" s="1"/>
  <c r="B9" i="58" l="1"/>
  <c r="A10" i="58"/>
  <c r="A10" i="57"/>
  <c r="B10" i="57" s="1"/>
  <c r="A9" i="45"/>
  <c r="A10" i="42"/>
  <c r="B10" i="58" l="1"/>
  <c r="A11" i="58"/>
  <c r="A11" i="57"/>
  <c r="B11" i="57" s="1"/>
  <c r="A10" i="45"/>
  <c r="A11" i="42"/>
  <c r="A12" i="58" l="1"/>
  <c r="B11" i="58"/>
  <c r="A12" i="57"/>
  <c r="A13" i="57" s="1"/>
  <c r="A11" i="45"/>
  <c r="A12" i="42"/>
  <c r="A13" i="58" l="1"/>
  <c r="B12" i="58"/>
  <c r="B12" i="57"/>
  <c r="B13" i="57"/>
  <c r="A14" i="57"/>
  <c r="A12" i="45"/>
  <c r="A13" i="42"/>
  <c r="B13" i="58" l="1"/>
  <c r="A14" i="58"/>
  <c r="A15" i="57"/>
  <c r="B14" i="57"/>
  <c r="A13" i="45"/>
  <c r="A14" i="42"/>
  <c r="B14" i="58" l="1"/>
  <c r="A15" i="58"/>
  <c r="A16" i="57"/>
  <c r="B15" i="57"/>
  <c r="A14" i="45"/>
  <c r="A15" i="42"/>
  <c r="A16" i="58" l="1"/>
  <c r="B15" i="58"/>
  <c r="B16" i="57"/>
  <c r="A17" i="57"/>
  <c r="A15" i="45"/>
  <c r="A16" i="42"/>
  <c r="A17" i="58" l="1"/>
  <c r="B16" i="58"/>
  <c r="B17" i="57"/>
  <c r="A18" i="57"/>
  <c r="A16" i="45"/>
  <c r="A17" i="42"/>
  <c r="B17" i="58" l="1"/>
  <c r="A18" i="58"/>
  <c r="A19" i="57"/>
  <c r="B18" i="57"/>
  <c r="A17" i="45"/>
  <c r="A18" i="42"/>
  <c r="B18" i="58" l="1"/>
  <c r="A19" i="58"/>
  <c r="A20" i="57"/>
  <c r="B19" i="57"/>
  <c r="A18" i="45"/>
  <c r="A19" i="42"/>
  <c r="A20" i="58" l="1"/>
  <c r="B19" i="58"/>
  <c r="B20" i="57"/>
  <c r="A21" i="57"/>
  <c r="A19" i="45"/>
  <c r="A20" i="42"/>
  <c r="A21" i="58" l="1"/>
  <c r="B20" i="58"/>
  <c r="B21" i="57"/>
  <c r="A22" i="57"/>
  <c r="A20" i="45"/>
  <c r="A21" i="42"/>
  <c r="B21" i="58" l="1"/>
  <c r="A22" i="58"/>
  <c r="A23" i="57"/>
  <c r="B22" i="57"/>
  <c r="A21" i="45"/>
  <c r="A22" i="42"/>
  <c r="B22" i="58" l="1"/>
  <c r="A23" i="58"/>
  <c r="A24" i="57"/>
  <c r="B23" i="57"/>
  <c r="A22" i="45"/>
  <c r="A23" i="42"/>
  <c r="A24" i="58" l="1"/>
  <c r="B23" i="58"/>
  <c r="B24" i="57"/>
  <c r="A25" i="57"/>
  <c r="A23" i="45"/>
  <c r="A24" i="42"/>
  <c r="A25" i="58" l="1"/>
  <c r="B24" i="58"/>
  <c r="B25" i="57"/>
  <c r="A26" i="57"/>
  <c r="A24" i="45"/>
  <c r="A25" i="42"/>
  <c r="B25" i="58" l="1"/>
  <c r="A26" i="58"/>
  <c r="A27" i="57"/>
  <c r="B26" i="57"/>
  <c r="A25" i="45"/>
  <c r="A26" i="42"/>
  <c r="B26" i="58" l="1"/>
  <c r="A27" i="58"/>
  <c r="A28" i="57"/>
  <c r="B27" i="57"/>
  <c r="A26" i="45"/>
  <c r="A27" i="42"/>
  <c r="A28" i="58" l="1"/>
  <c r="B27" i="58"/>
  <c r="B28" i="57"/>
  <c r="A29" i="57"/>
  <c r="A27" i="45"/>
  <c r="A28" i="42"/>
  <c r="A29" i="58" l="1"/>
  <c r="B28" i="58"/>
  <c r="B29" i="57"/>
  <c r="A30" i="57"/>
  <c r="A28" i="45"/>
  <c r="A29" i="42"/>
  <c r="B29" i="58" l="1"/>
  <c r="A30" i="58"/>
  <c r="A31" i="57"/>
  <c r="B30" i="57"/>
  <c r="A29" i="45"/>
  <c r="A30" i="42"/>
  <c r="B30" i="58" l="1"/>
  <c r="A31" i="58"/>
  <c r="A32" i="57"/>
  <c r="B31" i="57"/>
  <c r="A30" i="45"/>
  <c r="A31" i="42"/>
  <c r="A32" i="58" l="1"/>
  <c r="B31" i="58"/>
  <c r="B32" i="57"/>
  <c r="A33" i="57"/>
  <c r="A31" i="45"/>
  <c r="A32" i="42"/>
  <c r="A33" i="58" l="1"/>
  <c r="B32" i="58"/>
  <c r="B33" i="57"/>
  <c r="A34" i="57"/>
  <c r="A32" i="45"/>
  <c r="A33" i="42"/>
  <c r="B33" i="58" l="1"/>
  <c r="A34" i="58"/>
  <c r="A35" i="57"/>
  <c r="B34" i="57"/>
  <c r="A33" i="45"/>
  <c r="A34" i="42"/>
  <c r="B34" i="58" l="1"/>
  <c r="A35" i="58"/>
  <c r="A36" i="57"/>
  <c r="B35" i="57"/>
  <c r="A34" i="45"/>
  <c r="A35" i="42"/>
  <c r="A36" i="58" l="1"/>
  <c r="B36" i="58" s="1"/>
  <c r="B35" i="58"/>
  <c r="B36" i="57"/>
  <c r="A37" i="57"/>
  <c r="B37" i="57" s="1"/>
  <c r="A35" i="45"/>
  <c r="A36" i="42"/>
  <c r="A36" i="45" l="1"/>
  <c r="A37" i="42"/>
</calcChain>
</file>

<file path=xl/sharedStrings.xml><?xml version="1.0" encoding="utf-8"?>
<sst xmlns="http://schemas.openxmlformats.org/spreadsheetml/2006/main" count="2842" uniqueCount="182">
  <si>
    <t>曜日</t>
  </si>
  <si>
    <t>認印</t>
  </si>
  <si>
    <t>日付</t>
  </si>
  <si>
    <t>：</t>
  </si>
  <si>
    <t>実績時間</t>
  </si>
  <si>
    <t>事前申請</t>
    <rPh sb="0" eb="2">
      <t>ジゼン</t>
    </rPh>
    <phoneticPr fontId="6"/>
  </si>
  <si>
    <t>時間</t>
    <rPh sb="0" eb="2">
      <t>ジカン</t>
    </rPh>
    <phoneticPr fontId="6"/>
  </si>
  <si>
    <t>：</t>
    <phoneticPr fontId="6"/>
  </si>
  <si>
    <t>追加休憩</t>
    <rPh sb="0" eb="2">
      <t>ツイカ</t>
    </rPh>
    <rPh sb="2" eb="4">
      <t>キュウケイ</t>
    </rPh>
    <phoneticPr fontId="6"/>
  </si>
  <si>
    <t>公休</t>
    <rPh sb="0" eb="2">
      <t>コウキュウ</t>
    </rPh>
    <phoneticPr fontId="9"/>
  </si>
  <si>
    <t>有休</t>
    <rPh sb="0" eb="2">
      <t>ユウキュウ</t>
    </rPh>
    <phoneticPr fontId="9"/>
  </si>
  <si>
    <t xml:space="preserve">       ：      (        )</t>
  </si>
  <si>
    <t>：</t>
    <phoneticPr fontId="6"/>
  </si>
  <si>
    <t>事由</t>
    <phoneticPr fontId="6"/>
  </si>
  <si>
    <t>深夜時間</t>
    <rPh sb="0" eb="2">
      <t>シンヤ</t>
    </rPh>
    <phoneticPr fontId="6"/>
  </si>
  <si>
    <t>終業時刻(区分)</t>
    <phoneticPr fontId="6"/>
  </si>
  <si>
    <t>始業時刻(区分)</t>
    <phoneticPr fontId="6"/>
  </si>
  <si>
    <t>深夜勤務申請書</t>
    <rPh sb="2" eb="4">
      <t>キンム</t>
    </rPh>
    <phoneticPr fontId="6"/>
  </si>
  <si>
    <t>深夜勤務届出</t>
    <rPh sb="0" eb="2">
      <t>シンヤ</t>
    </rPh>
    <rPh sb="2" eb="4">
      <t>キンム</t>
    </rPh>
    <rPh sb="4" eb="6">
      <t>トドケデ</t>
    </rPh>
    <phoneticPr fontId="6"/>
  </si>
  <si>
    <t>例外事由</t>
    <rPh sb="0" eb="2">
      <t>レイガイ</t>
    </rPh>
    <rPh sb="2" eb="4">
      <t>ジユウ</t>
    </rPh>
    <phoneticPr fontId="6"/>
  </si>
  <si>
    <t>：</t>
    <phoneticPr fontId="6"/>
  </si>
  <si>
    <t>残業事由</t>
    <phoneticPr fontId="6"/>
  </si>
  <si>
    <t>認印</t>
    <rPh sb="0" eb="2">
      <t>ミトメイン</t>
    </rPh>
    <phoneticPr fontId="6"/>
  </si>
  <si>
    <t>終業時刻(区分)</t>
    <phoneticPr fontId="6"/>
  </si>
  <si>
    <t>始業時刻(区分)</t>
    <phoneticPr fontId="6"/>
  </si>
  <si>
    <t>早出・残業届出</t>
  </si>
  <si>
    <t>＊</t>
    <phoneticPr fontId="6"/>
  </si>
  <si>
    <t>本表は日々記入のうえ所属長に承認を受け、毎月１１日中に提出すること。</t>
    <rPh sb="3" eb="5">
      <t>ヒビ</t>
    </rPh>
    <rPh sb="5" eb="7">
      <t>キニュウ</t>
    </rPh>
    <rPh sb="10" eb="13">
      <t>ショゾクチョウ</t>
    </rPh>
    <rPh sb="14" eb="16">
      <t>ショウニン</t>
    </rPh>
    <rPh sb="17" eb="18">
      <t>ウ</t>
    </rPh>
    <phoneticPr fontId="6"/>
  </si>
  <si>
    <t>:</t>
    <phoneticPr fontId="6"/>
  </si>
  <si>
    <t>:</t>
  </si>
  <si>
    <t>認 印</t>
    <phoneticPr fontId="6"/>
  </si>
  <si>
    <t>例　外　事   由</t>
    <rPh sb="0" eb="1">
      <t>レイ</t>
    </rPh>
    <rPh sb="2" eb="3">
      <t>ソト</t>
    </rPh>
    <phoneticPr fontId="6"/>
  </si>
  <si>
    <r>
      <t xml:space="preserve">残業割増時間
</t>
    </r>
    <r>
      <rPr>
        <sz val="6"/>
        <rFont val="ＭＳ Ｐゴシック"/>
        <family val="3"/>
        <charset val="128"/>
      </rPr>
      <t>（実働8時間超過分）</t>
    </r>
    <rPh sb="0" eb="2">
      <t>ザンギョウ</t>
    </rPh>
    <rPh sb="2" eb="4">
      <t>ワリマシ</t>
    </rPh>
    <rPh sb="4" eb="6">
      <t>ジカン</t>
    </rPh>
    <rPh sb="8" eb="10">
      <t>ジツドウ</t>
    </rPh>
    <rPh sb="11" eb="13">
      <t>ジカン</t>
    </rPh>
    <rPh sb="13" eb="15">
      <t>チョウカ</t>
    </rPh>
    <rPh sb="15" eb="16">
      <t>ブン</t>
    </rPh>
    <phoneticPr fontId="6"/>
  </si>
  <si>
    <t>実働時間</t>
    <rPh sb="0" eb="2">
      <t>ジツドウ</t>
    </rPh>
    <rPh sb="2" eb="4">
      <t>ジカン</t>
    </rPh>
    <phoneticPr fontId="6"/>
  </si>
  <si>
    <t>休憩時間</t>
    <rPh sb="0" eb="2">
      <t>キュウケイ</t>
    </rPh>
    <phoneticPr fontId="6"/>
  </si>
  <si>
    <t>休日・勤休</t>
    <phoneticPr fontId="6"/>
  </si>
  <si>
    <t>日付</t>
    <phoneticPr fontId="6"/>
  </si>
  <si>
    <t xml:space="preserve">       ：    　   (     　    )</t>
  </si>
  <si>
    <t xml:space="preserve">       ：    　   (     　    )</t>
    <phoneticPr fontId="6"/>
  </si>
  <si>
    <t>休憩時間はその日に取得した合計を記入し、TIMES登録時は、システム自動反映分を超えた分を追加休憩で登録する。</t>
    <rPh sb="0" eb="2">
      <t>キュウケイ</t>
    </rPh>
    <rPh sb="2" eb="4">
      <t>ジカン</t>
    </rPh>
    <rPh sb="7" eb="8">
      <t>ヒ</t>
    </rPh>
    <rPh sb="9" eb="11">
      <t>シュトク</t>
    </rPh>
    <rPh sb="13" eb="15">
      <t>ゴウケイ</t>
    </rPh>
    <rPh sb="16" eb="18">
      <t>キニュウ</t>
    </rPh>
    <rPh sb="25" eb="27">
      <t>トウロク</t>
    </rPh>
    <rPh sb="27" eb="28">
      <t>ジ</t>
    </rPh>
    <rPh sb="34" eb="36">
      <t>ジドウ</t>
    </rPh>
    <rPh sb="36" eb="38">
      <t>ハンエイ</t>
    </rPh>
    <rPh sb="38" eb="39">
      <t>ブン</t>
    </rPh>
    <rPh sb="40" eb="41">
      <t>コ</t>
    </rPh>
    <rPh sb="43" eb="44">
      <t>ブン</t>
    </rPh>
    <rPh sb="45" eb="47">
      <t>ツイカ</t>
    </rPh>
    <rPh sb="47" eb="49">
      <t>キュウケイ</t>
    </rPh>
    <rPh sb="50" eb="52">
      <t>トウロク</t>
    </rPh>
    <phoneticPr fontId="6"/>
  </si>
  <si>
    <t>深夜勤務時間</t>
    <rPh sb="0" eb="2">
      <t>シンヤ</t>
    </rPh>
    <rPh sb="2" eb="4">
      <t>キンム</t>
    </rPh>
    <rPh sb="4" eb="6">
      <t>ジカン</t>
    </rPh>
    <phoneticPr fontId="6"/>
  </si>
  <si>
    <t>打刻時刻との差異がある場合は、始業・終業時刻の右側の（   ）内に 打忘・修正・未登録の区分を記入し、事由欄を記入する。</t>
    <rPh sb="0" eb="2">
      <t>ダコク</t>
    </rPh>
    <rPh sb="2" eb="4">
      <t>ジコク</t>
    </rPh>
    <rPh sb="6" eb="8">
      <t>サイ</t>
    </rPh>
    <rPh sb="11" eb="13">
      <t>バアイ</t>
    </rPh>
    <rPh sb="15" eb="17">
      <t>シギョウ</t>
    </rPh>
    <rPh sb="18" eb="20">
      <t>シュウギョウ</t>
    </rPh>
    <rPh sb="20" eb="22">
      <t>ジコク</t>
    </rPh>
    <rPh sb="37" eb="39">
      <t>シュウセイ</t>
    </rPh>
    <rPh sb="40" eb="43">
      <t>ミトウロク</t>
    </rPh>
    <rPh sb="51" eb="53">
      <t>ジユウ</t>
    </rPh>
    <rPh sb="53" eb="54">
      <t>ラン</t>
    </rPh>
    <rPh sb="55" eb="57">
      <t>キニュウ</t>
    </rPh>
    <phoneticPr fontId="6"/>
  </si>
  <si>
    <t>記入上の注意　１．例外事項、超過勤務が発生した時のみ記入し、未記入箇所は平常勤務とみなす。２．本表は日々記入のうえ上司に承認を受ける。３．承認時間は役職者が記入する。</t>
    <rPh sb="74" eb="77">
      <t>ヤクショクシャ</t>
    </rPh>
    <phoneticPr fontId="6"/>
  </si>
  <si>
    <t xml:space="preserve">記入要領 ［休日・勤休］ 公休･休出･出張･振休･振出・半有休・半振休・半振出・夏休･冬休･欠勤 等を記入。   </t>
    <rPh sb="6" eb="8">
      <t>キュウジツ</t>
    </rPh>
    <rPh sb="9" eb="11">
      <t>キンキュウ</t>
    </rPh>
    <rPh sb="16" eb="17">
      <t>キュウ</t>
    </rPh>
    <rPh sb="17" eb="18">
      <t>デ</t>
    </rPh>
    <rPh sb="19" eb="21">
      <t>シュッチョウ</t>
    </rPh>
    <rPh sb="25" eb="26">
      <t>フ</t>
    </rPh>
    <rPh sb="26" eb="27">
      <t>デ</t>
    </rPh>
    <rPh sb="28" eb="29">
      <t>ハン</t>
    </rPh>
    <rPh sb="29" eb="31">
      <t>ユウキュウ</t>
    </rPh>
    <rPh sb="32" eb="35">
      <t>ハンキュウ</t>
    </rPh>
    <rPh sb="36" eb="37">
      <t>ハン</t>
    </rPh>
    <rPh sb="37" eb="38">
      <t>フ</t>
    </rPh>
    <rPh sb="38" eb="39">
      <t>デ</t>
    </rPh>
    <phoneticPr fontId="6"/>
  </si>
  <si>
    <t>下記の通りとなります。</t>
    <phoneticPr fontId="9"/>
  </si>
  <si>
    <t>記入上の注意　１．例外事項、超過勤務が発生した時のみ記入し、未記入箇所は平常勤務とみなす。</t>
    <phoneticPr fontId="6"/>
  </si>
  <si>
    <t>当月の深夜勤務時間は</t>
    <phoneticPr fontId="9"/>
  </si>
  <si>
    <t>※1分単位で記入</t>
    <rPh sb="2" eb="3">
      <t>フン</t>
    </rPh>
    <rPh sb="3" eb="5">
      <t>タンイ</t>
    </rPh>
    <rPh sb="6" eb="8">
      <t>キニュウ</t>
    </rPh>
    <phoneticPr fontId="6"/>
  </si>
  <si>
    <t>〔書類の流れ〕　本人 → 所属長 → 東京本社 人事課 （原本）　　〔部署保管の有無〕　無し</t>
    <rPh sb="1" eb="3">
      <t>ショルイ</t>
    </rPh>
    <rPh sb="4" eb="5">
      <t>ナガ</t>
    </rPh>
    <rPh sb="8" eb="10">
      <t>ホンニン</t>
    </rPh>
    <rPh sb="13" eb="16">
      <t>ショゾクチョウ</t>
    </rPh>
    <rPh sb="19" eb="21">
      <t>トウキョウ</t>
    </rPh>
    <rPh sb="21" eb="23">
      <t>ホンシャ</t>
    </rPh>
    <rPh sb="24" eb="27">
      <t>ジンジカ</t>
    </rPh>
    <phoneticPr fontId="6"/>
  </si>
  <si>
    <t>〔書類の流れ〕　本人 → 所属長 → 東京本社 人事課 （原本）　　　〔部署保管の有無〕　無し</t>
    <rPh sb="1" eb="3">
      <t>ショルイ</t>
    </rPh>
    <rPh sb="4" eb="5">
      <t>ナガ</t>
    </rPh>
    <rPh sb="8" eb="10">
      <t>ホンニン</t>
    </rPh>
    <rPh sb="13" eb="16">
      <t>ショゾクチョウ</t>
    </rPh>
    <rPh sb="19" eb="21">
      <t>トウキョウ</t>
    </rPh>
    <rPh sb="21" eb="23">
      <t>ホンシャ</t>
    </rPh>
    <rPh sb="24" eb="27">
      <t>ジンジカ</t>
    </rPh>
    <phoneticPr fontId="6"/>
  </si>
  <si>
    <t>〔書類の流れ〕　本人 → 所属長 → 東京本社 人事課 （原本）　　　〔店舗保管の有無〕　無し</t>
    <rPh sb="1" eb="3">
      <t>ショルイ</t>
    </rPh>
    <rPh sb="4" eb="5">
      <t>ナガ</t>
    </rPh>
    <rPh sb="8" eb="10">
      <t>ホンニン</t>
    </rPh>
    <rPh sb="13" eb="16">
      <t>ショゾクチョウ</t>
    </rPh>
    <rPh sb="19" eb="21">
      <t>トウキョウ</t>
    </rPh>
    <rPh sb="21" eb="23">
      <t>ホンシャ</t>
    </rPh>
    <rPh sb="24" eb="27">
      <t>ジンジカ</t>
    </rPh>
    <phoneticPr fontId="6"/>
  </si>
  <si>
    <t>　　　　　　　　　時間　　　　　分　</t>
    <rPh sb="9" eb="11">
      <t>ジカン</t>
    </rPh>
    <rPh sb="16" eb="17">
      <t>フン</t>
    </rPh>
    <phoneticPr fontId="9"/>
  </si>
  <si>
    <r>
      <t>［変形労働</t>
    </r>
    <r>
      <rPr>
        <u/>
        <sz val="12"/>
        <rFont val="ＭＳ Ｐゴシック"/>
        <family val="3"/>
        <charset val="128"/>
      </rPr>
      <t>対象外</t>
    </r>
    <r>
      <rPr>
        <sz val="12"/>
        <rFont val="ＭＳ Ｐゴシック"/>
        <family val="3"/>
        <charset val="128"/>
      </rPr>
      <t>］　間接部門（一般社員・契約社員）用</t>
    </r>
    <rPh sb="15" eb="17">
      <t>イッパン</t>
    </rPh>
    <rPh sb="17" eb="19">
      <t>シャイン</t>
    </rPh>
    <rPh sb="20" eb="22">
      <t>ケイヤク</t>
    </rPh>
    <rPh sb="22" eb="24">
      <t>シャイン</t>
    </rPh>
    <rPh sb="25" eb="26">
      <t>ヨウ</t>
    </rPh>
    <phoneticPr fontId="9"/>
  </si>
  <si>
    <t>追加休憩</t>
    <phoneticPr fontId="9"/>
  </si>
  <si>
    <t>休日
勤休</t>
    <rPh sb="0" eb="2">
      <t>キュウジツ</t>
    </rPh>
    <rPh sb="3" eb="5">
      <t>キンキュウ</t>
    </rPh>
    <phoneticPr fontId="6"/>
  </si>
  <si>
    <t>所属［                              ］  社員番号［     　 　    　　      ］  氏名［  　　　                        　　］</t>
    <rPh sb="36" eb="38">
      <t>シャイン</t>
    </rPh>
    <rPh sb="38" eb="40">
      <t>バンゴウ</t>
    </rPh>
    <phoneticPr fontId="6"/>
  </si>
  <si>
    <t>上記深夜勤務時間と</t>
    <phoneticPr fontId="9"/>
  </si>
  <si>
    <t>深夜勤務みなし手当との</t>
    <phoneticPr fontId="9"/>
  </si>
  <si>
    <t>差額が発生した場合は</t>
    <phoneticPr fontId="9"/>
  </si>
  <si>
    <t>深夜勤務手当として</t>
    <phoneticPr fontId="9"/>
  </si>
  <si>
    <t>申請致します。</t>
    <phoneticPr fontId="9"/>
  </si>
  <si>
    <t>勤怠管理簿　　兼　　深夜勤務申請書</t>
    <phoneticPr fontId="6"/>
  </si>
  <si>
    <t>㊞</t>
  </si>
  <si>
    <t>公休</t>
    <rPh sb="0" eb="2">
      <t>コウキュウ</t>
    </rPh>
    <phoneticPr fontId="6"/>
  </si>
  <si>
    <t>資料作成の為</t>
    <rPh sb="0" eb="2">
      <t>シリョウ</t>
    </rPh>
    <rPh sb="2" eb="4">
      <t>サクセイ</t>
    </rPh>
    <rPh sb="5" eb="6">
      <t>タメ</t>
    </rPh>
    <phoneticPr fontId="9"/>
  </si>
  <si>
    <t xml:space="preserve">     9：00   ( 有償遅刻 )</t>
    <rPh sb="14" eb="16">
      <t>ユウショウ</t>
    </rPh>
    <rPh sb="16" eb="18">
      <t>チコク</t>
    </rPh>
    <phoneticPr fontId="9"/>
  </si>
  <si>
    <t xml:space="preserve">     18：00  ( 直帰 )</t>
    <rPh sb="14" eb="16">
      <t>チョッキ</t>
    </rPh>
    <phoneticPr fontId="9"/>
  </si>
  <si>
    <t>取引先訪問</t>
    <rPh sb="0" eb="2">
      <t>トリヒキ</t>
    </rPh>
    <rPh sb="2" eb="3">
      <t>サキ</t>
    </rPh>
    <rPh sb="3" eb="5">
      <t>ホウモン</t>
    </rPh>
    <phoneticPr fontId="9"/>
  </si>
  <si>
    <t>　　　　所属［ 　　人事部　　人事課 　　　］ 　　 社員番号［ 　2222222　　　　］  　　　氏名［ 　　マルハン二郎　　　　　　　　　　　　　］</t>
    <rPh sb="10" eb="12">
      <t>ジンジ</t>
    </rPh>
    <rPh sb="12" eb="13">
      <t>ブ</t>
    </rPh>
    <rPh sb="15" eb="18">
      <t>ジンジカ</t>
    </rPh>
    <rPh sb="27" eb="29">
      <t>シャイン</t>
    </rPh>
    <rPh sb="29" eb="31">
      <t>バンゴウ</t>
    </rPh>
    <rPh sb="61" eb="63">
      <t>ジロウ</t>
    </rPh>
    <phoneticPr fontId="6"/>
  </si>
  <si>
    <t>　　　　所属［ 　　人事部　　人事課 　　　］ 　　 社員番号［ 　3333333　　　　］  　　　氏名［ 　　マルハン花子　　　　　　　　　　　　　］</t>
    <rPh sb="10" eb="12">
      <t>ジンジ</t>
    </rPh>
    <rPh sb="12" eb="13">
      <t>ブ</t>
    </rPh>
    <rPh sb="15" eb="18">
      <t>ジンジカ</t>
    </rPh>
    <rPh sb="27" eb="29">
      <t>シャイン</t>
    </rPh>
    <rPh sb="29" eb="31">
      <t>バンゴウ</t>
    </rPh>
    <rPh sb="61" eb="63">
      <t>ハナコ</t>
    </rPh>
    <phoneticPr fontId="6"/>
  </si>
  <si>
    <t>前半有休</t>
    <rPh sb="0" eb="2">
      <t>ゼンハン</t>
    </rPh>
    <rPh sb="2" eb="4">
      <t>ユウキュウ</t>
    </rPh>
    <phoneticPr fontId="9"/>
  </si>
  <si>
    <t>㊞</t>
    <phoneticPr fontId="9"/>
  </si>
  <si>
    <t>公休</t>
    <rPh sb="0" eb="2">
      <t>コウキュウ</t>
    </rPh>
    <phoneticPr fontId="6"/>
  </si>
  <si>
    <t>有休</t>
    <rPh sb="0" eb="2">
      <t>ユウキュウ</t>
    </rPh>
    <phoneticPr fontId="6"/>
  </si>
  <si>
    <t xml:space="preserve">    ：      (     　    )</t>
  </si>
  <si>
    <t xml:space="preserve">    ：      (     　    )</t>
    <phoneticPr fontId="6"/>
  </si>
  <si>
    <t xml:space="preserve">    ：      (     　　   )</t>
  </si>
  <si>
    <t xml:space="preserve">    ：      (     　　   )</t>
    <phoneticPr fontId="9"/>
  </si>
  <si>
    <t xml:space="preserve">    ：      (     　    )</t>
    <phoneticPr fontId="9"/>
  </si>
  <si>
    <t>中抜/追加休憩</t>
    <rPh sb="0" eb="2">
      <t>ナカヌキ</t>
    </rPh>
    <rPh sb="3" eb="5">
      <t>ツイカ</t>
    </rPh>
    <phoneticPr fontId="6"/>
  </si>
  <si>
    <t>例外事項(出張・直行・直帰・研修・打忘・修正)届出</t>
    <rPh sb="8" eb="10">
      <t>チョッコウ</t>
    </rPh>
    <rPh sb="11" eb="13">
      <t>チョッキ</t>
    </rPh>
    <rPh sb="20" eb="22">
      <t>シュウセイ</t>
    </rPh>
    <phoneticPr fontId="6"/>
  </si>
  <si>
    <t>例外事項(出張・直行・直帰・研修・打忘・修正・遅刻・早退)届出</t>
    <rPh sb="8" eb="10">
      <t>チョッコウ</t>
    </rPh>
    <rPh sb="11" eb="13">
      <t>チョッキ</t>
    </rPh>
    <rPh sb="20" eb="22">
      <t>シュウセイ</t>
    </rPh>
    <rPh sb="23" eb="25">
      <t>チコク</t>
    </rPh>
    <rPh sb="26" eb="28">
      <t>ソウタイ</t>
    </rPh>
    <phoneticPr fontId="6"/>
  </si>
  <si>
    <t>　　　 　　　［例外事項届出］ 時刻を記入し（  ）内に出張・直行・直帰・研修・打忘・修正 等を記入。</t>
    <rPh sb="43" eb="45">
      <t>シュウセイ</t>
    </rPh>
    <phoneticPr fontId="9"/>
  </si>
  <si>
    <t>　　　 　　　［例外事項届出］ 時刻を記入し（  ）内に出張・直行・直帰・研修・打忘・修正・遅刻・早退 等を記入。</t>
    <rPh sb="34" eb="36">
      <t>チョッキ</t>
    </rPh>
    <phoneticPr fontId="9"/>
  </si>
  <si>
    <t>［ 2016  ］年  ［　4　］月度  　　　　　　　　　　　　　</t>
    <rPh sb="18" eb="19">
      <t>ド</t>
    </rPh>
    <phoneticPr fontId="6"/>
  </si>
  <si>
    <r>
      <t>［変形労働</t>
    </r>
    <r>
      <rPr>
        <u/>
        <sz val="12"/>
        <rFont val="ＭＳ Ｐゴシック"/>
        <family val="3"/>
        <charset val="128"/>
      </rPr>
      <t>対象外</t>
    </r>
    <r>
      <rPr>
        <sz val="12"/>
        <rFont val="ＭＳ Ｐゴシック"/>
        <family val="3"/>
        <charset val="128"/>
      </rPr>
      <t>］ 間接部門（チーフ以上）、営業部長・エリア長用</t>
    </r>
    <rPh sb="1" eb="3">
      <t>ヘンケイ</t>
    </rPh>
    <rPh sb="3" eb="5">
      <t>ロウドウ</t>
    </rPh>
    <rPh sb="5" eb="8">
      <t>タイショウガイ</t>
    </rPh>
    <rPh sb="22" eb="24">
      <t>エイギョウ</t>
    </rPh>
    <rPh sb="24" eb="26">
      <t>ブチョウ</t>
    </rPh>
    <rPh sb="30" eb="31">
      <t>チョウ</t>
    </rPh>
    <rPh sb="31" eb="32">
      <t>ヨウ</t>
    </rPh>
    <phoneticPr fontId="9"/>
  </si>
  <si>
    <t>［ 2016  ］年  ［　4　］月度  勤怠管理簿</t>
    <rPh sb="18" eb="19">
      <t>ド</t>
    </rPh>
    <phoneticPr fontId="6"/>
  </si>
  <si>
    <t>［ 2016 ］年 ［  　　  ］月度   勤怠管理簿（時給者）</t>
    <rPh sb="19" eb="20">
      <t>ド</t>
    </rPh>
    <rPh sb="25" eb="27">
      <t>カンリ</t>
    </rPh>
    <rPh sb="29" eb="32">
      <t>ジキュウシャ</t>
    </rPh>
    <phoneticPr fontId="6"/>
  </si>
  <si>
    <t>［ 2016 ］年 ［  4  ］月度   勤怠管理簿（時給者）</t>
    <rPh sb="18" eb="19">
      <t>ド</t>
    </rPh>
    <rPh sb="24" eb="26">
      <t>カンリ</t>
    </rPh>
    <rPh sb="28" eb="31">
      <t>ジキュウシャ</t>
    </rPh>
    <phoneticPr fontId="6"/>
  </si>
  <si>
    <t>　　　　　　1　時間　　　54　分　</t>
    <rPh sb="8" eb="10">
      <t>ジカン</t>
    </rPh>
    <rPh sb="16" eb="17">
      <t>フン</t>
    </rPh>
    <phoneticPr fontId="9"/>
  </si>
  <si>
    <t>［間接部門（時給者）用］</t>
    <rPh sb="1" eb="3">
      <t>カンセツ</t>
    </rPh>
    <rPh sb="6" eb="8">
      <t>ジキュウ</t>
    </rPh>
    <rPh sb="8" eb="9">
      <t>シャ</t>
    </rPh>
    <rPh sb="10" eb="11">
      <t>ヨウ</t>
    </rPh>
    <phoneticPr fontId="9"/>
  </si>
  <si>
    <t xml:space="preserve">     9：00   ( 打忘  )</t>
    <rPh sb="14" eb="16">
      <t>ダボウ</t>
    </rPh>
    <phoneticPr fontId="9"/>
  </si>
  <si>
    <t>9：00　（　　　　　）</t>
  </si>
  <si>
    <t>9：00　（　　　　　）</t>
    <phoneticPr fontId="6"/>
  </si>
  <si>
    <t>18：00　（　　　　　）</t>
  </si>
  <si>
    <t>18：00　（　　　　　）</t>
    <phoneticPr fontId="6"/>
  </si>
  <si>
    <t>18：24　（　　　　　）</t>
    <phoneticPr fontId="9"/>
  </si>
  <si>
    <t>資料作成の為</t>
    <rPh sb="0" eb="2">
      <t>シリョウ</t>
    </rPh>
    <rPh sb="2" eb="4">
      <t>サクセイ</t>
    </rPh>
    <rPh sb="5" eb="6">
      <t>タメ</t>
    </rPh>
    <phoneticPr fontId="9"/>
  </si>
  <si>
    <t>所属［ 　 人事部　人事課     ］  社員番号［    5555555    ］  氏名［  　　　マルハン五郎　     　　］</t>
    <rPh sb="6" eb="8">
      <t>ジンジ</t>
    </rPh>
    <rPh sb="8" eb="9">
      <t>ブ</t>
    </rPh>
    <rPh sb="10" eb="12">
      <t>ジンジ</t>
    </rPh>
    <rPh sb="12" eb="13">
      <t>カ</t>
    </rPh>
    <rPh sb="21" eb="23">
      <t>シャイン</t>
    </rPh>
    <rPh sb="23" eb="25">
      <t>バンゴウ</t>
    </rPh>
    <rPh sb="56" eb="58">
      <t>ゴロウ</t>
    </rPh>
    <phoneticPr fontId="6"/>
  </si>
  <si>
    <t>［ 2017 ］年  ［3］月度  勤怠管理簿</t>
    <rPh sb="15" eb="16">
      <t>ド</t>
    </rPh>
    <phoneticPr fontId="6"/>
  </si>
  <si>
    <t>所属［経営管理部（MMI出向） ］　　  社員番号［1034461］ 　　　 氏名［　檜垣　壮 　］</t>
    <rPh sb="3" eb="5">
      <t>ケイエイ</t>
    </rPh>
    <rPh sb="5" eb="7">
      <t>カンリ</t>
    </rPh>
    <rPh sb="7" eb="8">
      <t>ブ</t>
    </rPh>
    <rPh sb="12" eb="14">
      <t>シュッコウ</t>
    </rPh>
    <rPh sb="21" eb="23">
      <t>シャイン</t>
    </rPh>
    <rPh sb="23" eb="25">
      <t>バンゴウ</t>
    </rPh>
    <rPh sb="43" eb="45">
      <t>ヒガキ</t>
    </rPh>
    <rPh sb="46" eb="47">
      <t>ソウ</t>
    </rPh>
    <phoneticPr fontId="6"/>
  </si>
  <si>
    <t>火</t>
  </si>
  <si>
    <t>水</t>
  </si>
  <si>
    <t>木</t>
  </si>
  <si>
    <t>金</t>
  </si>
  <si>
    <t>土</t>
  </si>
  <si>
    <t>日</t>
  </si>
  <si>
    <t>月</t>
  </si>
  <si>
    <t>土</t>
    <rPh sb="0" eb="1">
      <t>ツチ</t>
    </rPh>
    <phoneticPr fontId="9"/>
  </si>
  <si>
    <t>日</t>
    <phoneticPr fontId="9"/>
  </si>
  <si>
    <t xml:space="preserve">      9 ：00 (        )</t>
    <phoneticPr fontId="9"/>
  </si>
  <si>
    <t xml:space="preserve">    19 ：00  (        )</t>
    <phoneticPr fontId="9"/>
  </si>
  <si>
    <t xml:space="preserve">    18 ：00  (        )</t>
    <phoneticPr fontId="9"/>
  </si>
  <si>
    <t xml:space="preserve">    20 ：45  (        )</t>
    <phoneticPr fontId="9"/>
  </si>
  <si>
    <t xml:space="preserve">    19 ：15  (        )</t>
    <phoneticPr fontId="9"/>
  </si>
  <si>
    <t xml:space="preserve">    21 ：15  (        )</t>
    <phoneticPr fontId="9"/>
  </si>
  <si>
    <t xml:space="preserve">    20 ：00  (        )</t>
    <phoneticPr fontId="9"/>
  </si>
  <si>
    <t xml:space="preserve">    19 ：45  (        )</t>
    <phoneticPr fontId="9"/>
  </si>
  <si>
    <t xml:space="preserve">    18 ：45  (        )</t>
    <phoneticPr fontId="9"/>
  </si>
  <si>
    <t xml:space="preserve">    21 ：45  (        )</t>
    <phoneticPr fontId="9"/>
  </si>
  <si>
    <t xml:space="preserve">    19 ：30  (        )</t>
    <phoneticPr fontId="9"/>
  </si>
  <si>
    <t>ホテル事業化PTキックオフMT打ち合わせのため、残業</t>
    <phoneticPr fontId="9"/>
  </si>
  <si>
    <t xml:space="preserve">      8：30 (        )</t>
    <phoneticPr fontId="9"/>
  </si>
  <si>
    <t>ホテル事業化キックオフMTの資料作りのため、残業</t>
    <phoneticPr fontId="9"/>
  </si>
  <si>
    <t>リーダーMT資料作りのため、残業</t>
    <phoneticPr fontId="9"/>
  </si>
  <si>
    <t>終了修正は、ホテル事業キックオフＭＴのため残業</t>
    <phoneticPr fontId="9"/>
  </si>
  <si>
    <t>リーダーMT資料作りのため、残業</t>
    <phoneticPr fontId="9"/>
  </si>
  <si>
    <t>リーダーMT資料作りのため、残業</t>
    <phoneticPr fontId="9"/>
  </si>
  <si>
    <t>ホテル事業に関する打ち合わせのため、残業</t>
    <phoneticPr fontId="9"/>
  </si>
  <si>
    <t>ホテル事業に関する打ち合わせのため、残業</t>
    <phoneticPr fontId="9"/>
  </si>
  <si>
    <t>ホテル事業化ＰＴのミーティングのため残業</t>
    <phoneticPr fontId="9"/>
  </si>
  <si>
    <t>開始は、ホテル現場早入りのため早出残業。終了は、ホテル事業化ＰＴの資料づくりのため残業。</t>
    <phoneticPr fontId="9"/>
  </si>
  <si>
    <t>ホテル事業化ＰＴの資料作成のため残業</t>
    <phoneticPr fontId="9"/>
  </si>
  <si>
    <t>公休</t>
    <rPh sb="0" eb="2">
      <t>コウキュウ</t>
    </rPh>
    <phoneticPr fontId="9"/>
  </si>
  <si>
    <t>火</t>
    <rPh sb="0" eb="1">
      <t>ヒ</t>
    </rPh>
    <phoneticPr fontId="9"/>
  </si>
  <si>
    <t>水</t>
    <rPh sb="0" eb="1">
      <t>ミズ</t>
    </rPh>
    <phoneticPr fontId="9"/>
  </si>
  <si>
    <t>［ 2017 ］年  ［4］月度  勤怠管理簿</t>
    <rPh sb="15" eb="16">
      <t>ド</t>
    </rPh>
    <phoneticPr fontId="6"/>
  </si>
  <si>
    <t xml:space="preserve">       ：      (        )</t>
    <phoneticPr fontId="9"/>
  </si>
  <si>
    <t>木</t>
    <phoneticPr fontId="9"/>
  </si>
  <si>
    <t>公休</t>
    <rPh sb="0" eb="2">
      <t>コウキュウ</t>
    </rPh>
    <phoneticPr fontId="9"/>
  </si>
  <si>
    <t>振休</t>
    <rPh sb="0" eb="1">
      <t>フ</t>
    </rPh>
    <rPh sb="1" eb="2">
      <t>ヤス</t>
    </rPh>
    <phoneticPr fontId="9"/>
  </si>
  <si>
    <t>振出</t>
    <rPh sb="0" eb="1">
      <t>シン</t>
    </rPh>
    <rPh sb="1" eb="2">
      <t>デ</t>
    </rPh>
    <phoneticPr fontId="9"/>
  </si>
  <si>
    <t>金</t>
    <rPh sb="0" eb="1">
      <t>キン</t>
    </rPh>
    <phoneticPr fontId="9"/>
  </si>
  <si>
    <t>60周年旅行</t>
    <rPh sb="2" eb="4">
      <t>シュウネン</t>
    </rPh>
    <rPh sb="4" eb="6">
      <t>リョコウ</t>
    </rPh>
    <phoneticPr fontId="9"/>
  </si>
  <si>
    <t>特別有給</t>
    <rPh sb="0" eb="2">
      <t>トクベツ</t>
    </rPh>
    <rPh sb="2" eb="4">
      <t>ユウキュウ</t>
    </rPh>
    <phoneticPr fontId="9"/>
  </si>
  <si>
    <t>［ 2018 ］年  ［5］月度  勤怠管理簿</t>
    <rPh sb="15" eb="16">
      <t>ド</t>
    </rPh>
    <phoneticPr fontId="6"/>
  </si>
  <si>
    <t>［ 2018 ］年  ［7］月度  勤怠管理簿</t>
    <rPh sb="15" eb="16">
      <t>ド</t>
    </rPh>
    <phoneticPr fontId="6"/>
  </si>
  <si>
    <t>.</t>
    <phoneticPr fontId="9"/>
  </si>
  <si>
    <t>［ 2018 ］年  ［8］月度  勤怠管理簿</t>
    <rPh sb="15" eb="16">
      <t>ド</t>
    </rPh>
    <phoneticPr fontId="6"/>
  </si>
  <si>
    <t>季節休</t>
    <rPh sb="0" eb="2">
      <t>キセツ</t>
    </rPh>
    <rPh sb="2" eb="3">
      <t>ヤス</t>
    </rPh>
    <phoneticPr fontId="9"/>
  </si>
  <si>
    <t>有給</t>
    <rPh sb="0" eb="2">
      <t>ユウキュウ</t>
    </rPh>
    <phoneticPr fontId="9"/>
  </si>
  <si>
    <t xml:space="preserve">     9：00 (        )</t>
    <phoneticPr fontId="9"/>
  </si>
  <si>
    <t xml:space="preserve">     18：00 (        )</t>
    <phoneticPr fontId="9"/>
  </si>
  <si>
    <t>所属［ MMI　］ 　　 社員番号［ 1034461］  　　　氏名［檜垣　壮 ］</t>
    <rPh sb="13" eb="15">
      <t>シャイン</t>
    </rPh>
    <rPh sb="15" eb="17">
      <t>バンゴウ</t>
    </rPh>
    <rPh sb="35" eb="37">
      <t>ヒガキ</t>
    </rPh>
    <rPh sb="38" eb="39">
      <t>ソウ</t>
    </rPh>
    <phoneticPr fontId="6"/>
  </si>
  <si>
    <t>　</t>
    <phoneticPr fontId="9"/>
  </si>
  <si>
    <t xml:space="preserve">      9 ：00 (        )</t>
  </si>
  <si>
    <t xml:space="preserve">       18：00 (        )</t>
  </si>
  <si>
    <t>［ 2020  ］年  ［6］月度  　　　　　　　　　　　　　</t>
    <rPh sb="16" eb="17">
      <t>ド</t>
    </rPh>
    <phoneticPr fontId="6"/>
  </si>
  <si>
    <t>金</t>
    <phoneticPr fontId="9"/>
  </si>
  <si>
    <t>半振休</t>
    <rPh sb="0" eb="1">
      <t>ハン</t>
    </rPh>
    <rPh sb="1" eb="3">
      <t>フリキュウ</t>
    </rPh>
    <phoneticPr fontId="9"/>
  </si>
  <si>
    <t>半振出</t>
    <rPh sb="0" eb="1">
      <t>ハン</t>
    </rPh>
    <rPh sb="1" eb="2">
      <t>フ</t>
    </rPh>
    <rPh sb="2" eb="3">
      <t>デ</t>
    </rPh>
    <phoneticPr fontId="9"/>
  </si>
  <si>
    <t xml:space="preserve">      8 ：00 (        )</t>
    <phoneticPr fontId="9"/>
  </si>
  <si>
    <t xml:space="preserve">       13：00 (        )</t>
    <phoneticPr fontId="9"/>
  </si>
  <si>
    <t xml:space="preserve">       14：00 (        )</t>
    <phoneticPr fontId="9"/>
  </si>
  <si>
    <t>［ 20］年  ［9]月度  勤怠管理簿</t>
    <rPh sb="12" eb="13">
      <t>ド</t>
    </rPh>
    <phoneticPr fontId="6"/>
  </si>
  <si>
    <t>水</t>
    <phoneticPr fontId="9"/>
  </si>
  <si>
    <t>午後有給</t>
    <rPh sb="0" eb="2">
      <t>ゴゴ</t>
    </rPh>
    <rPh sb="2" eb="4">
      <t>ユウキュウ</t>
    </rPh>
    <phoneticPr fontId="9"/>
  </si>
  <si>
    <t xml:space="preserve">     9：00 (        )</t>
  </si>
  <si>
    <t xml:space="preserve">     18：00 (        )</t>
  </si>
  <si>
    <t xml:space="preserve">     14：00 (        )</t>
    <phoneticPr fontId="9"/>
  </si>
  <si>
    <t>［ 20］年  ［10]月度  勤怠管理簿</t>
    <rPh sb="13" eb="14">
      <t>ド</t>
    </rPh>
    <phoneticPr fontId="6"/>
  </si>
  <si>
    <t>月</t>
    <phoneticPr fontId="9"/>
  </si>
  <si>
    <t xml:space="preserve">    14：00(        )</t>
    <phoneticPr fontId="9"/>
  </si>
  <si>
    <t xml:space="preserve">     7：00 (        )</t>
    <phoneticPr fontId="9"/>
  </si>
  <si>
    <t xml:space="preserve">     16：00 (        )</t>
    <phoneticPr fontId="9"/>
  </si>
  <si>
    <t>時差出勤</t>
    <rPh sb="0" eb="2">
      <t>ジサ</t>
    </rPh>
    <rPh sb="2" eb="4">
      <t>シュッキン</t>
    </rPh>
    <phoneticPr fontId="9"/>
  </si>
  <si>
    <t>所属［社長室（MMI出向） ］　　  社員番号［1034461］ 　　　 氏名［　檜垣　壮 　］</t>
    <rPh sb="3" eb="6">
      <t>シャチョウシツ</t>
    </rPh>
    <rPh sb="10" eb="12">
      <t>シュッコウ</t>
    </rPh>
    <rPh sb="19" eb="21">
      <t>シャイン</t>
    </rPh>
    <rPh sb="21" eb="23">
      <t>バンゴウ</t>
    </rPh>
    <rPh sb="41" eb="43">
      <t>ヒガキ</t>
    </rPh>
    <rPh sb="44" eb="45">
      <t>ソウ</t>
    </rPh>
    <phoneticPr fontId="6"/>
  </si>
  <si>
    <t xml:space="preserve">       9：00(      )</t>
    <phoneticPr fontId="9"/>
  </si>
  <si>
    <t xml:space="preserve">      18：00(        )</t>
    <phoneticPr fontId="9"/>
  </si>
  <si>
    <t>［ 21］年  ［2]月度  勤怠管理簿</t>
    <rPh sb="12" eb="13">
      <t>ド</t>
    </rPh>
    <phoneticPr fontId="6"/>
  </si>
  <si>
    <t xml:space="preserve">      14：00(        )</t>
    <phoneticPr fontId="9"/>
  </si>
  <si>
    <t>午後有給</t>
    <rPh sb="0" eb="2">
      <t>ゴゴ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</si>
</sst>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aaa"/>
  </numFmts>
  <fonts count="16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8.5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8.5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u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indexed="42"/>
        <bgColor theme="0"/>
      </patternFill>
    </fill>
    <fill>
      <patternFill patternType="solid">
        <fgColor indexed="10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hair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hair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40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right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2" xfId="0" quotePrefix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0" fillId="0" borderId="7" xfId="0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4" fillId="0" borderId="0" xfId="0" quotePrefix="1" applyFont="1" applyAlignment="1">
      <alignment horizontal="right" shrinkToFit="1"/>
    </xf>
    <xf numFmtId="0" fontId="0" fillId="0" borderId="0" xfId="0" applyAlignment="1">
      <alignment shrinkToFit="1"/>
    </xf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0" fillId="2" borderId="8" xfId="0" quotePrefix="1" applyNumberForma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177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176" fontId="0" fillId="2" borderId="14" xfId="0" quotePrefix="1" applyNumberForma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177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/>
    </xf>
    <xf numFmtId="0" fontId="0" fillId="0" borderId="0" xfId="0" applyBorder="1"/>
    <xf numFmtId="0" fontId="0" fillId="0" borderId="0" xfId="0" applyBorder="1" applyAlignment="1"/>
    <xf numFmtId="0" fontId="0" fillId="0" borderId="32" xfId="0" applyBorder="1" applyAlignment="1">
      <alignment vertical="center"/>
    </xf>
    <xf numFmtId="0" fontId="0" fillId="0" borderId="19" xfId="0" applyBorder="1" applyAlignment="1">
      <alignment vertical="center"/>
    </xf>
    <xf numFmtId="176" fontId="0" fillId="2" borderId="3" xfId="0" quotePrefix="1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177" fontId="0" fillId="0" borderId="8" xfId="0" applyNumberFormat="1" applyBorder="1" applyAlignment="1">
      <alignment horizontal="center" vertical="center"/>
    </xf>
    <xf numFmtId="176" fontId="0" fillId="2" borderId="1" xfId="0" quotePrefix="1" applyNumberForma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176" fontId="0" fillId="2" borderId="22" xfId="0" quotePrefix="1" applyNumberForma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vertical="center" shrinkToFit="1"/>
    </xf>
    <xf numFmtId="0" fontId="0" fillId="0" borderId="22" xfId="0" applyBorder="1" applyAlignment="1">
      <alignment vertical="center"/>
    </xf>
    <xf numFmtId="177" fontId="0" fillId="0" borderId="16" xfId="0" applyNumberFormat="1" applyBorder="1" applyAlignment="1">
      <alignment horizontal="center" vertical="center"/>
    </xf>
    <xf numFmtId="176" fontId="0" fillId="2" borderId="36" xfId="0" quotePrefix="1" applyNumberForma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36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vertical="center" shrinkToFit="1"/>
    </xf>
    <xf numFmtId="176" fontId="0" fillId="2" borderId="7" xfId="0" quotePrefix="1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vertical="center" shrinkToFit="1"/>
    </xf>
    <xf numFmtId="20" fontId="0" fillId="0" borderId="13" xfId="0" applyNumberFormat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37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176" fontId="0" fillId="2" borderId="15" xfId="0" quotePrefix="1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vertical="center" shrinkToFit="1"/>
    </xf>
    <xf numFmtId="176" fontId="10" fillId="3" borderId="22" xfId="0" applyNumberFormat="1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Continuous" vertical="center"/>
    </xf>
    <xf numFmtId="0" fontId="4" fillId="2" borderId="15" xfId="0" applyFont="1" applyFill="1" applyBorder="1" applyAlignment="1">
      <alignment horizontal="centerContinuous" vertical="center"/>
    </xf>
    <xf numFmtId="0" fontId="0" fillId="0" borderId="0" xfId="0" quotePrefix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4" borderId="33" xfId="0" applyFill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vertical="center" shrinkToFit="1"/>
    </xf>
    <xf numFmtId="0" fontId="0" fillId="0" borderId="46" xfId="0" applyBorder="1" applyAlignment="1">
      <alignment vertical="center" shrinkToFit="1"/>
    </xf>
    <xf numFmtId="0" fontId="0" fillId="0" borderId="4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49" xfId="0" applyFill="1" applyBorder="1" applyAlignment="1">
      <alignment vertical="center" shrinkToFit="1"/>
    </xf>
    <xf numFmtId="0" fontId="0" fillId="0" borderId="4" xfId="0" applyFill="1" applyBorder="1" applyAlignment="1">
      <alignment vertical="center"/>
    </xf>
    <xf numFmtId="0" fontId="0" fillId="0" borderId="50" xfId="0" applyBorder="1" applyAlignment="1">
      <alignment vertical="center" shrinkToFit="1"/>
    </xf>
    <xf numFmtId="0" fontId="0" fillId="0" borderId="51" xfId="0" applyBorder="1" applyAlignment="1">
      <alignment vertical="center"/>
    </xf>
    <xf numFmtId="0" fontId="0" fillId="0" borderId="24" xfId="0" quotePrefix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7" fillId="2" borderId="20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4" fillId="5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3" fillId="5" borderId="0" xfId="0" quotePrefix="1" applyFont="1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0" xfId="0" quotePrefix="1" applyFill="1" applyAlignment="1">
      <alignment horizontal="left" vertical="center"/>
    </xf>
    <xf numFmtId="0" fontId="0" fillId="5" borderId="19" xfId="0" applyFill="1" applyBorder="1" applyAlignment="1">
      <alignment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/>
    </xf>
    <xf numFmtId="0" fontId="11" fillId="6" borderId="58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/>
    </xf>
    <xf numFmtId="176" fontId="10" fillId="7" borderId="22" xfId="0" quotePrefix="1" applyNumberFormat="1" applyFont="1" applyFill="1" applyBorder="1" applyAlignment="1">
      <alignment horizontal="center" vertical="center"/>
    </xf>
    <xf numFmtId="177" fontId="0" fillId="5" borderId="22" xfId="0" quotePrefix="1" applyNumberFormat="1" applyFill="1" applyBorder="1" applyAlignment="1">
      <alignment horizontal="center" vertical="center"/>
    </xf>
    <xf numFmtId="0" fontId="0" fillId="5" borderId="22" xfId="0" quotePrefix="1" applyFill="1" applyBorder="1" applyAlignment="1">
      <alignment horizontal="left" vertical="center"/>
    </xf>
    <xf numFmtId="0" fontId="0" fillId="5" borderId="12" xfId="0" quotePrefix="1" applyFill="1" applyBorder="1" applyAlignment="1">
      <alignment horizontal="center" vertical="center"/>
    </xf>
    <xf numFmtId="0" fontId="0" fillId="5" borderId="54" xfId="0" quotePrefix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5" borderId="22" xfId="0" quotePrefix="1" applyFill="1" applyBorder="1" applyAlignment="1">
      <alignment horizontal="center" vertical="center"/>
    </xf>
    <xf numFmtId="0" fontId="0" fillId="5" borderId="21" xfId="0" applyFill="1" applyBorder="1" applyAlignment="1">
      <alignment vertical="center"/>
    </xf>
    <xf numFmtId="176" fontId="2" fillId="6" borderId="22" xfId="0" quotePrefix="1" applyNumberFormat="1" applyFont="1" applyFill="1" applyBorder="1" applyAlignment="1">
      <alignment horizontal="center" vertical="center"/>
    </xf>
    <xf numFmtId="177" fontId="0" fillId="5" borderId="22" xfId="0" applyNumberFormat="1" applyFill="1" applyBorder="1" applyAlignment="1">
      <alignment horizontal="center" vertical="center"/>
    </xf>
    <xf numFmtId="0" fontId="0" fillId="5" borderId="22" xfId="0" applyFill="1" applyBorder="1" applyAlignment="1">
      <alignment vertical="center"/>
    </xf>
    <xf numFmtId="0" fontId="0" fillId="5" borderId="11" xfId="0" quotePrefix="1" applyFill="1" applyBorder="1" applyAlignment="1">
      <alignment horizontal="center" vertical="center"/>
    </xf>
    <xf numFmtId="0" fontId="0" fillId="5" borderId="38" xfId="0" quotePrefix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76" fontId="2" fillId="6" borderId="1" xfId="0" quotePrefix="1" applyNumberFormat="1" applyFon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6" xfId="0" quotePrefix="1" applyFill="1" applyBorder="1" applyAlignment="1">
      <alignment horizontal="center" vertical="center"/>
    </xf>
    <xf numFmtId="0" fontId="0" fillId="5" borderId="20" xfId="0" quotePrefix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176" fontId="2" fillId="6" borderId="56" xfId="0" quotePrefix="1" applyNumberFormat="1" applyFont="1" applyFill="1" applyBorder="1" applyAlignment="1">
      <alignment horizontal="center" vertical="center"/>
    </xf>
    <xf numFmtId="177" fontId="0" fillId="5" borderId="56" xfId="0" applyNumberFormat="1" applyFill="1" applyBorder="1" applyAlignment="1">
      <alignment horizontal="center" vertical="center"/>
    </xf>
    <xf numFmtId="0" fontId="0" fillId="5" borderId="56" xfId="0" applyFill="1" applyBorder="1" applyAlignment="1">
      <alignment vertical="center"/>
    </xf>
    <xf numFmtId="0" fontId="1" fillId="5" borderId="57" xfId="0" applyFon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55" xfId="0" applyFill="1" applyBorder="1" applyAlignment="1">
      <alignment vertical="center"/>
    </xf>
    <xf numFmtId="176" fontId="2" fillId="6" borderId="3" xfId="0" quotePrefix="1" applyNumberFormat="1" applyFon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176" fontId="2" fillId="6" borderId="7" xfId="0" quotePrefix="1" applyNumberFormat="1" applyFont="1" applyFill="1" applyBorder="1" applyAlignment="1">
      <alignment horizontal="center" vertical="center"/>
    </xf>
    <xf numFmtId="177" fontId="0" fillId="5" borderId="7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11" fillId="5" borderId="0" xfId="0" applyFont="1" applyFill="1" applyAlignment="1"/>
    <xf numFmtId="0" fontId="2" fillId="5" borderId="0" xfId="0" applyFont="1" applyFill="1" applyAlignment="1">
      <alignment horizontal="right" vertical="center"/>
    </xf>
    <xf numFmtId="0" fontId="2" fillId="5" borderId="0" xfId="0" quotePrefix="1" applyFont="1" applyFill="1" applyAlignment="1">
      <alignment horizontal="left" vertical="center"/>
    </xf>
    <xf numFmtId="0" fontId="11" fillId="5" borderId="0" xfId="0" quotePrefix="1" applyFont="1" applyFill="1" applyAlignment="1">
      <alignment horizontal="left" vertical="center"/>
    </xf>
    <xf numFmtId="0" fontId="11" fillId="5" borderId="0" xfId="0" quotePrefix="1" applyFont="1" applyFill="1" applyBorder="1" applyAlignment="1">
      <alignment horizontal="right" vertical="top"/>
    </xf>
    <xf numFmtId="0" fontId="0" fillId="5" borderId="0" xfId="0" applyFill="1" applyAlignment="1">
      <alignment horizontal="right" vertical="center"/>
    </xf>
    <xf numFmtId="0" fontId="0" fillId="5" borderId="0" xfId="0" quotePrefix="1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/>
    <xf numFmtId="0" fontId="14" fillId="0" borderId="0" xfId="0" applyFont="1" applyAlignment="1">
      <alignment vertical="top"/>
    </xf>
    <xf numFmtId="0" fontId="14" fillId="5" borderId="0" xfId="0" applyFont="1" applyFill="1" applyAlignment="1">
      <alignment vertical="top"/>
    </xf>
    <xf numFmtId="0" fontId="11" fillId="0" borderId="33" xfId="0" applyFont="1" applyBorder="1" applyAlignment="1">
      <alignment vertical="center"/>
    </xf>
    <xf numFmtId="38" fontId="2" fillId="0" borderId="33" xfId="1" applyFont="1" applyBorder="1" applyAlignment="1">
      <alignment vertical="center"/>
    </xf>
    <xf numFmtId="0" fontId="0" fillId="0" borderId="42" xfId="0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horizontal="center" vertical="center"/>
    </xf>
    <xf numFmtId="0" fontId="4" fillId="0" borderId="0" xfId="0" applyFont="1" applyAlignment="1"/>
    <xf numFmtId="0" fontId="4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5" borderId="0" xfId="0" applyFill="1" applyAlignment="1">
      <alignment horizontal="right"/>
    </xf>
    <xf numFmtId="0" fontId="0" fillId="0" borderId="52" xfId="0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0" fillId="0" borderId="34" xfId="0" quotePrefix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quotePrefix="1" applyBorder="1" applyAlignment="1">
      <alignment horizontal="left" vertical="center"/>
    </xf>
    <xf numFmtId="20" fontId="0" fillId="0" borderId="12" xfId="0" applyNumberFormat="1" applyBorder="1" applyAlignment="1">
      <alignment horizontal="center" vertical="center"/>
    </xf>
    <xf numFmtId="20" fontId="0" fillId="0" borderId="48" xfId="0" applyNumberFormat="1" applyBorder="1" applyAlignment="1">
      <alignment horizontal="center" vertical="center"/>
    </xf>
    <xf numFmtId="20" fontId="2" fillId="0" borderId="54" xfId="0" applyNumberFormat="1" applyFont="1" applyBorder="1" applyAlignment="1">
      <alignment horizontal="center" vertical="center"/>
    </xf>
    <xf numFmtId="20" fontId="2" fillId="0" borderId="24" xfId="0" applyNumberFormat="1" applyFont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60" xfId="0" quotePrefix="1" applyBorder="1" applyAlignment="1">
      <alignment horizontal="center" vertical="center"/>
    </xf>
    <xf numFmtId="20" fontId="0" fillId="0" borderId="45" xfId="0" applyNumberFormat="1" applyBorder="1" applyAlignment="1">
      <alignment horizontal="center" vertical="center"/>
    </xf>
    <xf numFmtId="20" fontId="2" fillId="0" borderId="38" xfId="0" applyNumberFormat="1" applyFont="1" applyBorder="1" applyAlignment="1">
      <alignment horizontal="center" vertical="center"/>
    </xf>
    <xf numFmtId="20" fontId="0" fillId="0" borderId="20" xfId="0" applyNumberFormat="1" applyBorder="1" applyAlignment="1">
      <alignment horizontal="center" vertical="center"/>
    </xf>
    <xf numFmtId="20" fontId="2" fillId="0" borderId="20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0" fontId="2" fillId="0" borderId="35" xfId="0" applyNumberFormat="1" applyFon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54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5" borderId="2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0" fontId="0" fillId="5" borderId="57" xfId="0" applyNumberFormat="1" applyFon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20" fontId="0" fillId="5" borderId="2" xfId="0" applyNumberFormat="1" applyFont="1" applyFill="1" applyBorder="1" applyAlignment="1">
      <alignment horizontal="center" vertical="center"/>
    </xf>
    <xf numFmtId="20" fontId="0" fillId="5" borderId="24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6" fontId="10" fillId="3" borderId="15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6" xfId="0" applyBorder="1" applyAlignment="1">
      <alignment vertical="center" shrinkToFit="1"/>
    </xf>
    <xf numFmtId="0" fontId="0" fillId="0" borderId="17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20" fontId="0" fillId="0" borderId="54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2" borderId="61" xfId="0" quotePrefix="1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3" xfId="0" applyNumberFormat="1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49" xfId="0" applyBorder="1" applyAlignment="1">
      <alignment vertical="center" shrinkToFit="1"/>
    </xf>
    <xf numFmtId="20" fontId="0" fillId="0" borderId="3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8" xfId="0" applyBorder="1" applyAlignment="1">
      <alignment vertical="center" shrinkToFi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8" fillId="2" borderId="62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8" fillId="2" borderId="57" xfId="0" quotePrefix="1" applyFont="1" applyFill="1" applyBorder="1" applyAlignment="1">
      <alignment horizontal="center" vertical="center"/>
    </xf>
    <xf numFmtId="0" fontId="8" fillId="2" borderId="36" xfId="0" quotePrefix="1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0" borderId="65" xfId="0" applyFont="1" applyFill="1" applyBorder="1" applyAlignment="1">
      <alignment horizontal="center" vertical="center"/>
    </xf>
    <xf numFmtId="0" fontId="0" fillId="0" borderId="65" xfId="0" applyBorder="1" applyAlignment="1">
      <alignment vertical="center"/>
    </xf>
    <xf numFmtId="0" fontId="0" fillId="0" borderId="65" xfId="0" applyBorder="1" applyAlignment="1">
      <alignment horizontal="center" vertical="center"/>
    </xf>
    <xf numFmtId="0" fontId="0" fillId="0" borderId="65" xfId="0" applyBorder="1" applyAlignment="1">
      <alignment vertical="center" shrinkToFit="1"/>
    </xf>
    <xf numFmtId="177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shrinkToFit="1"/>
    </xf>
    <xf numFmtId="176" fontId="0" fillId="2" borderId="18" xfId="0" quotePrefix="1" applyNumberFormat="1" applyFill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176" fontId="10" fillId="3" borderId="18" xfId="0" applyNumberFormat="1" applyFont="1" applyFill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 shrinkToFit="1"/>
    </xf>
    <xf numFmtId="0" fontId="7" fillId="2" borderId="66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Continuous" vertical="center"/>
    </xf>
    <xf numFmtId="0" fontId="4" fillId="2" borderId="71" xfId="0" applyFont="1" applyFill="1" applyBorder="1" applyAlignment="1">
      <alignment horizontal="centerContinuous" vertical="center"/>
    </xf>
    <xf numFmtId="0" fontId="12" fillId="2" borderId="73" xfId="0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Border="1" applyAlignment="1">
      <alignment vertical="center"/>
    </xf>
    <xf numFmtId="0" fontId="0" fillId="0" borderId="75" xfId="0" applyBorder="1" applyAlignment="1">
      <alignment vertical="center"/>
    </xf>
    <xf numFmtId="0" fontId="0" fillId="0" borderId="76" xfId="0" applyBorder="1" applyAlignment="1">
      <alignment vertical="center" shrinkToFit="1"/>
    </xf>
    <xf numFmtId="0" fontId="0" fillId="0" borderId="7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76" fontId="0" fillId="2" borderId="74" xfId="0" quotePrefix="1" applyNumberForma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vertical="center"/>
    </xf>
    <xf numFmtId="0" fontId="0" fillId="0" borderId="80" xfId="0" applyBorder="1" applyAlignment="1">
      <alignment horizontal="center" vertical="center"/>
    </xf>
    <xf numFmtId="0" fontId="0" fillId="0" borderId="80" xfId="0" applyBorder="1" applyAlignment="1">
      <alignment vertical="center"/>
    </xf>
    <xf numFmtId="0" fontId="0" fillId="0" borderId="81" xfId="0" applyBorder="1" applyAlignment="1">
      <alignment vertical="center"/>
    </xf>
    <xf numFmtId="0" fontId="0" fillId="0" borderId="82" xfId="0" applyBorder="1" applyAlignment="1">
      <alignment vertical="center" shrinkToFit="1"/>
    </xf>
    <xf numFmtId="0" fontId="0" fillId="0" borderId="8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176" fontId="0" fillId="2" borderId="80" xfId="0" quotePrefix="1" applyNumberFormat="1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vertical="center"/>
    </xf>
    <xf numFmtId="0" fontId="2" fillId="0" borderId="80" xfId="0" applyFont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2" fillId="0" borderId="86" xfId="0" applyFont="1" applyBorder="1" applyAlignment="1">
      <alignment vertical="center"/>
    </xf>
    <xf numFmtId="0" fontId="0" fillId="0" borderId="87" xfId="0" applyBorder="1" applyAlignment="1">
      <alignment vertical="center"/>
    </xf>
    <xf numFmtId="0" fontId="0" fillId="0" borderId="88" xfId="0" applyBorder="1" applyAlignment="1">
      <alignment vertical="center" shrinkToFit="1"/>
    </xf>
    <xf numFmtId="0" fontId="0" fillId="0" borderId="89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176" fontId="0" fillId="2" borderId="86" xfId="0" quotePrefix="1" applyNumberForma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vertical="center"/>
    </xf>
    <xf numFmtId="20" fontId="0" fillId="0" borderId="77" xfId="0" applyNumberFormat="1" applyBorder="1" applyAlignment="1">
      <alignment horizontal="center" vertical="center"/>
    </xf>
    <xf numFmtId="20" fontId="0" fillId="0" borderId="75" xfId="0" applyNumberFormat="1" applyBorder="1" applyAlignment="1">
      <alignment horizontal="center" vertical="center"/>
    </xf>
    <xf numFmtId="0" fontId="0" fillId="0" borderId="92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86" xfId="0" applyFill="1" applyBorder="1" applyAlignment="1">
      <alignment horizontal="center" vertical="center"/>
    </xf>
    <xf numFmtId="20" fontId="0" fillId="0" borderId="89" xfId="0" applyNumberFormat="1" applyBorder="1" applyAlignment="1">
      <alignment horizontal="center" vertical="center"/>
    </xf>
    <xf numFmtId="20" fontId="0" fillId="0" borderId="87" xfId="0" applyNumberFormat="1" applyBorder="1" applyAlignment="1">
      <alignment horizontal="center" vertical="center"/>
    </xf>
    <xf numFmtId="0" fontId="0" fillId="0" borderId="95" xfId="0" applyBorder="1" applyAlignment="1">
      <alignment vertical="center"/>
    </xf>
    <xf numFmtId="0" fontId="0" fillId="0" borderId="80" xfId="0" applyFill="1" applyBorder="1" applyAlignment="1">
      <alignment horizontal="center" vertical="center"/>
    </xf>
    <xf numFmtId="20" fontId="0" fillId="0" borderId="83" xfId="0" applyNumberFormat="1" applyBorder="1" applyAlignment="1">
      <alignment horizontal="center" vertical="center"/>
    </xf>
    <xf numFmtId="20" fontId="0" fillId="0" borderId="81" xfId="0" applyNumberFormat="1" applyBorder="1" applyAlignment="1">
      <alignment horizontal="center" vertical="center"/>
    </xf>
    <xf numFmtId="0" fontId="2" fillId="0" borderId="80" xfId="0" applyFont="1" applyFill="1" applyBorder="1" applyAlignment="1">
      <alignment vertical="center"/>
    </xf>
    <xf numFmtId="0" fontId="0" fillId="0" borderId="81" xfId="0" applyFill="1" applyBorder="1" applyAlignment="1">
      <alignment vertical="center"/>
    </xf>
    <xf numFmtId="0" fontId="0" fillId="0" borderId="82" xfId="0" applyFill="1" applyBorder="1" applyAlignment="1">
      <alignment vertical="center" shrinkToFit="1"/>
    </xf>
    <xf numFmtId="0" fontId="0" fillId="0" borderId="83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176" fontId="0" fillId="0" borderId="80" xfId="0" quotePrefix="1" applyNumberFormat="1" applyFill="1" applyBorder="1" applyAlignment="1">
      <alignment horizontal="center" vertical="center"/>
    </xf>
    <xf numFmtId="0" fontId="0" fillId="0" borderId="84" xfId="0" applyFill="1" applyBorder="1" applyAlignment="1">
      <alignment horizontal="center" vertical="center"/>
    </xf>
    <xf numFmtId="0" fontId="0" fillId="0" borderId="93" xfId="0" applyFill="1" applyBorder="1" applyAlignment="1">
      <alignment vertical="center"/>
    </xf>
    <xf numFmtId="176" fontId="0" fillId="2" borderId="96" xfId="0" quotePrefix="1" applyNumberFormat="1" applyFill="1" applyBorder="1" applyAlignment="1">
      <alignment horizontal="center" vertical="center"/>
    </xf>
    <xf numFmtId="176" fontId="0" fillId="2" borderId="97" xfId="0" quotePrefix="1" applyNumberFormat="1" applyFill="1" applyBorder="1" applyAlignment="1">
      <alignment horizontal="center" vertical="center"/>
    </xf>
    <xf numFmtId="176" fontId="0" fillId="2" borderId="98" xfId="0" quotePrefix="1" applyNumberFormat="1" applyFill="1" applyBorder="1" applyAlignment="1">
      <alignment horizontal="center" vertical="center"/>
    </xf>
    <xf numFmtId="177" fontId="0" fillId="0" borderId="99" xfId="0" applyNumberFormat="1" applyBorder="1" applyAlignment="1">
      <alignment horizontal="center" vertical="center"/>
    </xf>
    <xf numFmtId="177" fontId="0" fillId="0" borderId="100" xfId="0" applyNumberFormat="1" applyBorder="1" applyAlignment="1">
      <alignment horizontal="center" vertical="center"/>
    </xf>
    <xf numFmtId="176" fontId="10" fillId="3" borderId="96" xfId="0" applyNumberFormat="1" applyFont="1" applyFill="1" applyBorder="1" applyAlignment="1">
      <alignment horizontal="center" vertical="center"/>
    </xf>
    <xf numFmtId="177" fontId="0" fillId="0" borderId="94" xfId="0" applyNumberFormat="1" applyBorder="1" applyAlignment="1">
      <alignment horizontal="center" vertical="center"/>
    </xf>
    <xf numFmtId="176" fontId="0" fillId="0" borderId="97" xfId="0" quotePrefix="1" applyNumberFormat="1" applyFill="1" applyBorder="1" applyAlignment="1">
      <alignment horizontal="center" vertical="center"/>
    </xf>
    <xf numFmtId="0" fontId="2" fillId="0" borderId="74" xfId="0" applyFont="1" applyBorder="1" applyAlignment="1">
      <alignment vertical="center"/>
    </xf>
    <xf numFmtId="176" fontId="0" fillId="8" borderId="98" xfId="0" quotePrefix="1" applyNumberFormat="1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0" fontId="2" fillId="8" borderId="86" xfId="0" applyFont="1" applyFill="1" applyBorder="1" applyAlignment="1">
      <alignment vertical="center"/>
    </xf>
    <xf numFmtId="0" fontId="0" fillId="8" borderId="87" xfId="0" applyFill="1" applyBorder="1" applyAlignment="1">
      <alignment vertical="center"/>
    </xf>
    <xf numFmtId="0" fontId="0" fillId="8" borderId="88" xfId="0" applyFill="1" applyBorder="1" applyAlignment="1">
      <alignment vertical="center" shrinkToFit="1"/>
    </xf>
    <xf numFmtId="0" fontId="0" fillId="8" borderId="89" xfId="0" applyFill="1" applyBorder="1" applyAlignment="1">
      <alignment horizontal="center" vertical="center"/>
    </xf>
    <xf numFmtId="0" fontId="0" fillId="8" borderId="87" xfId="0" applyFill="1" applyBorder="1" applyAlignment="1">
      <alignment horizontal="center" vertical="center"/>
    </xf>
    <xf numFmtId="176" fontId="0" fillId="8" borderId="88" xfId="0" quotePrefix="1" applyNumberFormat="1" applyFill="1" applyBorder="1" applyAlignment="1">
      <alignment horizontal="center" vertical="center"/>
    </xf>
    <xf numFmtId="0" fontId="0" fillId="8" borderId="90" xfId="0" applyFill="1" applyBorder="1" applyAlignment="1">
      <alignment horizontal="center" vertical="center"/>
    </xf>
    <xf numFmtId="0" fontId="0" fillId="8" borderId="95" xfId="0" applyFill="1" applyBorder="1" applyAlignment="1">
      <alignment vertical="center"/>
    </xf>
    <xf numFmtId="177" fontId="0" fillId="8" borderId="94" xfId="0" applyNumberFormat="1" applyFill="1" applyBorder="1" applyAlignment="1">
      <alignment horizontal="center" vertical="center"/>
    </xf>
    <xf numFmtId="0" fontId="0" fillId="0" borderId="86" xfId="0" applyFont="1" applyBorder="1" applyAlignment="1">
      <alignment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2" borderId="63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/>
    </xf>
    <xf numFmtId="0" fontId="12" fillId="2" borderId="68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 shrinkToFit="1"/>
    </xf>
    <xf numFmtId="0" fontId="4" fillId="2" borderId="69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0" fillId="5" borderId="0" xfId="0" applyFill="1" applyAlignment="1">
      <alignment horizontal="right"/>
    </xf>
    <xf numFmtId="177" fontId="0" fillId="9" borderId="18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8" xfId="0" applyFill="1" applyBorder="1" applyAlignment="1">
      <alignment vertical="center"/>
    </xf>
    <xf numFmtId="0" fontId="0" fillId="9" borderId="18" xfId="0" applyFill="1" applyBorder="1" applyAlignment="1">
      <alignment vertical="center" shrinkToFit="1"/>
    </xf>
    <xf numFmtId="176" fontId="0" fillId="9" borderId="18" xfId="0" quotePrefix="1" applyNumberFormat="1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B2B2B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74A147B0-6E6C-4110-AC99-3C9CD0B94078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11024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66280E8-DBD8-4570-AC3F-09F9C600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7A4703A-4762-489A-911C-38C43089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18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73374D84-4162-46F7-94AC-30E92267C7C6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B28ECE7E-24A1-4722-9042-817E997E2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DE64356-009D-441E-9EE9-6FF6DF844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18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18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18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18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6865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5479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54782</xdr:rowOff>
    </xdr:from>
    <xdr:to>
      <xdr:col>15</xdr:col>
      <xdr:colOff>1</xdr:colOff>
      <xdr:row>39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741332"/>
          <a:ext cx="12411075" cy="76536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35</xdr:row>
      <xdr:rowOff>0</xdr:rowOff>
    </xdr:from>
    <xdr:to>
      <xdr:col>9</xdr:col>
      <xdr:colOff>0</xdr:colOff>
      <xdr:row>35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38</xdr:row>
      <xdr:rowOff>128001</xdr:rowOff>
    </xdr:from>
    <xdr:to>
      <xdr:col>15</xdr:col>
      <xdr:colOff>4674</xdr:colOff>
      <xdr:row>44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7384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35</xdr:row>
      <xdr:rowOff>54782</xdr:rowOff>
    </xdr:from>
    <xdr:to>
      <xdr:col>15</xdr:col>
      <xdr:colOff>1</xdr:colOff>
      <xdr:row>38</xdr:row>
      <xdr:rowOff>86719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33949"/>
          <a:ext cx="12424833" cy="77277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543800" y="60007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39</xdr:row>
      <xdr:rowOff>128001</xdr:rowOff>
    </xdr:from>
    <xdr:to>
      <xdr:col>15</xdr:col>
      <xdr:colOff>4674</xdr:colOff>
      <xdr:row>45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8000" y="7748001"/>
          <a:ext cx="1752792" cy="8964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36</xdr:row>
      <xdr:rowOff>33617</xdr:rowOff>
    </xdr:from>
    <xdr:to>
      <xdr:col>15</xdr:col>
      <xdr:colOff>1</xdr:colOff>
      <xdr:row>39</xdr:row>
      <xdr:rowOff>65554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5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914029"/>
          <a:ext cx="12416118" cy="77152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22411</xdr:rowOff>
    </xdr:from>
    <xdr:to>
      <xdr:col>15</xdr:col>
      <xdr:colOff>0</xdr:colOff>
      <xdr:row>39</xdr:row>
      <xdr:rowOff>54348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902823"/>
          <a:ext cx="12416118" cy="771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8770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808767</xdr:colOff>
      <xdr:row>39</xdr:row>
      <xdr:rowOff>123265</xdr:rowOff>
    </xdr:from>
    <xdr:to>
      <xdr:col>15</xdr:col>
      <xdr:colOff>4674</xdr:colOff>
      <xdr:row>45</xdr:row>
      <xdr:rowOff>27081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658738" y="7743265"/>
          <a:ext cx="1762054" cy="9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33631</xdr:colOff>
      <xdr:row>28</xdr:row>
      <xdr:rowOff>78440</xdr:rowOff>
    </xdr:from>
    <xdr:to>
      <xdr:col>4</xdr:col>
      <xdr:colOff>179306</xdr:colOff>
      <xdr:row>32</xdr:row>
      <xdr:rowOff>29941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 bwMode="auto">
        <a:xfrm>
          <a:off x="683572" y="5434852"/>
          <a:ext cx="2173940" cy="713501"/>
        </a:xfrm>
        <a:prstGeom prst="wedgeRoundRectCallout">
          <a:avLst>
            <a:gd name="adj1" fmla="val -62764"/>
            <a:gd name="adj2" fmla="val 185002"/>
            <a:gd name="adj3" fmla="val 16667"/>
          </a:avLst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合計項目については</a:t>
          </a:r>
          <a:r>
            <a:rPr kumimoji="1" lang="en-US" altLang="ja-JP" sz="1100"/>
            <a:t>TIMES</a:t>
          </a:r>
          <a:r>
            <a:rPr kumimoji="1" lang="ja-JP" altLang="en-US" sz="1100"/>
            <a:t>の</a:t>
          </a:r>
          <a:endParaRPr kumimoji="1" lang="en-US" altLang="ja-JP" sz="1100"/>
        </a:p>
        <a:p>
          <a:pPr algn="ctr"/>
          <a:r>
            <a:rPr kumimoji="1" lang="ja-JP" altLang="en-US" sz="1100"/>
            <a:t>個人別勤務レポートの集計値を</a:t>
          </a:r>
          <a:endParaRPr kumimoji="1" lang="en-US" altLang="ja-JP" sz="1100"/>
        </a:p>
        <a:p>
          <a:pPr algn="ctr"/>
          <a:r>
            <a:rPr kumimoji="1" lang="ja-JP" altLang="en-US" sz="1100"/>
            <a:t>転記して下さい。</a:t>
          </a:r>
        </a:p>
      </xdr:txBody>
    </xdr:sp>
    <xdr:clientData/>
  </xdr:twoCellAnchor>
  <xdr:twoCellAnchor>
    <xdr:from>
      <xdr:col>14</xdr:col>
      <xdr:colOff>526678</xdr:colOff>
      <xdr:row>29</xdr:row>
      <xdr:rowOff>67235</xdr:rowOff>
    </xdr:from>
    <xdr:to>
      <xdr:col>14</xdr:col>
      <xdr:colOff>2095499</xdr:colOff>
      <xdr:row>32</xdr:row>
      <xdr:rowOff>52355</xdr:rowOff>
    </xdr:to>
    <xdr:sp macro="" textlink="">
      <xdr:nvSpPr>
        <xdr:cNvPr id="8" name="角丸四角形吹き出し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 bwMode="auto">
        <a:xfrm>
          <a:off x="10376649" y="5614147"/>
          <a:ext cx="1568821" cy="556620"/>
        </a:xfrm>
        <a:prstGeom prst="wedgeRoundRectCallout">
          <a:avLst>
            <a:gd name="adj1" fmla="val -42681"/>
            <a:gd name="adj2" fmla="val 179683"/>
            <a:gd name="adj3" fmla="val 16667"/>
          </a:avLst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間接部門は対象外の為、</a:t>
          </a:r>
          <a:endParaRPr kumimoji="1" lang="en-US" altLang="ja-JP" sz="1100"/>
        </a:p>
        <a:p>
          <a:pPr algn="ctr"/>
          <a:r>
            <a:rPr kumimoji="1" lang="ja-JP" altLang="en-US" sz="1100"/>
            <a:t>計上されません。</a:t>
          </a:r>
        </a:p>
      </xdr:txBody>
    </xdr:sp>
    <xdr:clientData/>
  </xdr:twoCellAnchor>
  <xdr:twoCellAnchor>
    <xdr:from>
      <xdr:col>10</xdr:col>
      <xdr:colOff>571501</xdr:colOff>
      <xdr:row>30</xdr:row>
      <xdr:rowOff>44823</xdr:rowOff>
    </xdr:from>
    <xdr:to>
      <xdr:col>14</xdr:col>
      <xdr:colOff>100851</xdr:colOff>
      <xdr:row>33</xdr:row>
      <xdr:rowOff>29943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8269942" y="5782235"/>
          <a:ext cx="1680880" cy="556620"/>
        </a:xfrm>
        <a:prstGeom prst="wedgeRoundRectCallout">
          <a:avLst>
            <a:gd name="adj1" fmla="val 33557"/>
            <a:gd name="adj2" fmla="val 153511"/>
            <a:gd name="adj3" fmla="val 16667"/>
          </a:avLst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通常勤務時の残業時間を</a:t>
          </a:r>
          <a:endParaRPr kumimoji="1" lang="en-US" altLang="ja-JP" sz="1100"/>
        </a:p>
        <a:p>
          <a:pPr algn="ctr"/>
          <a:r>
            <a:rPr kumimoji="1" lang="ja-JP" altLang="en-US" sz="1100"/>
            <a:t>記入して下さい。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5486400" y="60007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>
    <xdr:from>
      <xdr:col>12</xdr:col>
      <xdr:colOff>409575</xdr:colOff>
      <xdr:row>18</xdr:row>
      <xdr:rowOff>85725</xdr:rowOff>
    </xdr:from>
    <xdr:to>
      <xdr:col>12</xdr:col>
      <xdr:colOff>409575</xdr:colOff>
      <xdr:row>18</xdr:row>
      <xdr:rowOff>85725</xdr:rowOff>
    </xdr:to>
    <xdr:sp macro="" textlink="">
      <xdr:nvSpPr>
        <xdr:cNvPr id="3" name="Line 9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>
          <a:off x="8639175" y="2828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12</xdr:col>
      <xdr:colOff>202221</xdr:colOff>
      <xdr:row>39</xdr:row>
      <xdr:rowOff>70032</xdr:rowOff>
    </xdr:from>
    <xdr:to>
      <xdr:col>12</xdr:col>
      <xdr:colOff>2265971</xdr:colOff>
      <xdr:row>44</xdr:row>
      <xdr:rowOff>138389</xdr:rowOff>
    </xdr:to>
    <xdr:pic>
      <xdr:nvPicPr>
        <xdr:cNvPr id="6" name="Picture 107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99574" y="7824503"/>
          <a:ext cx="2063750" cy="1054474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409575</xdr:colOff>
      <xdr:row>18</xdr:row>
      <xdr:rowOff>85725</xdr:rowOff>
    </xdr:from>
    <xdr:to>
      <xdr:col>12</xdr:col>
      <xdr:colOff>409575</xdr:colOff>
      <xdr:row>18</xdr:row>
      <xdr:rowOff>85725</xdr:rowOff>
    </xdr:to>
    <xdr:sp macro="" textlink="">
      <xdr:nvSpPr>
        <xdr:cNvPr id="7" name="Line 9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>
          <a:off x="11420475" y="358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478354</xdr:colOff>
      <xdr:row>19</xdr:row>
      <xdr:rowOff>178593</xdr:rowOff>
    </xdr:from>
    <xdr:to>
      <xdr:col>12</xdr:col>
      <xdr:colOff>847452</xdr:colOff>
      <xdr:row>19</xdr:row>
      <xdr:rowOff>178593</xdr:rowOff>
    </xdr:to>
    <xdr:sp macro="" textlink="">
      <xdr:nvSpPr>
        <xdr:cNvPr id="8" name="Line 9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 flipV="1">
          <a:off x="10205060" y="3921358"/>
          <a:ext cx="3690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1325772</xdr:colOff>
      <xdr:row>19</xdr:row>
      <xdr:rowOff>178590</xdr:rowOff>
    </xdr:from>
    <xdr:to>
      <xdr:col>12</xdr:col>
      <xdr:colOff>1694870</xdr:colOff>
      <xdr:row>19</xdr:row>
      <xdr:rowOff>178590</xdr:rowOff>
    </xdr:to>
    <xdr:sp macro="" textlink="">
      <xdr:nvSpPr>
        <xdr:cNvPr id="9" name="Line 9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 flipV="1">
          <a:off x="11052478" y="3921355"/>
          <a:ext cx="3690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37</xdr:row>
      <xdr:rowOff>11215</xdr:rowOff>
    </xdr:from>
    <xdr:to>
      <xdr:col>9</xdr:col>
      <xdr:colOff>560294</xdr:colOff>
      <xdr:row>39</xdr:row>
      <xdr:rowOff>271815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7138156"/>
          <a:ext cx="8146675" cy="88813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7286625" y="7115175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>
    <xdr:from>
      <xdr:col>12</xdr:col>
      <xdr:colOff>409575</xdr:colOff>
      <xdr:row>18</xdr:row>
      <xdr:rowOff>85725</xdr:rowOff>
    </xdr:from>
    <xdr:to>
      <xdr:col>12</xdr:col>
      <xdr:colOff>409575</xdr:colOff>
      <xdr:row>18</xdr:row>
      <xdr:rowOff>85725</xdr:rowOff>
    </xdr:to>
    <xdr:sp macro="" textlink="">
      <xdr:nvSpPr>
        <xdr:cNvPr id="3" name="Line 9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>
          <a:off x="10572750" y="358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12</xdr:col>
      <xdr:colOff>202221</xdr:colOff>
      <xdr:row>39</xdr:row>
      <xdr:rowOff>70032</xdr:rowOff>
    </xdr:from>
    <xdr:to>
      <xdr:col>12</xdr:col>
      <xdr:colOff>2265971</xdr:colOff>
      <xdr:row>44</xdr:row>
      <xdr:rowOff>138389</xdr:rowOff>
    </xdr:to>
    <xdr:pic>
      <xdr:nvPicPr>
        <xdr:cNvPr id="4" name="Picture 107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65396" y="7804332"/>
          <a:ext cx="2063750" cy="1058957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409575</xdr:colOff>
      <xdr:row>18</xdr:row>
      <xdr:rowOff>85725</xdr:rowOff>
    </xdr:from>
    <xdr:to>
      <xdr:col>12</xdr:col>
      <xdr:colOff>409575</xdr:colOff>
      <xdr:row>18</xdr:row>
      <xdr:rowOff>85725</xdr:rowOff>
    </xdr:to>
    <xdr:sp macro="" textlink="">
      <xdr:nvSpPr>
        <xdr:cNvPr id="5" name="Line 9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>
          <a:off x="10572750" y="358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478354</xdr:colOff>
      <xdr:row>19</xdr:row>
      <xdr:rowOff>178593</xdr:rowOff>
    </xdr:from>
    <xdr:to>
      <xdr:col>12</xdr:col>
      <xdr:colOff>847452</xdr:colOff>
      <xdr:row>19</xdr:row>
      <xdr:rowOff>178593</xdr:rowOff>
    </xdr:to>
    <xdr:sp macro="" textlink="">
      <xdr:nvSpPr>
        <xdr:cNvPr id="6" name="Line 9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ShapeType="1"/>
        </xdr:cNvSpPr>
      </xdr:nvSpPr>
      <xdr:spPr bwMode="auto">
        <a:xfrm flipV="1">
          <a:off x="10641529" y="3864768"/>
          <a:ext cx="3690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1325772</xdr:colOff>
      <xdr:row>19</xdr:row>
      <xdr:rowOff>178590</xdr:rowOff>
    </xdr:from>
    <xdr:to>
      <xdr:col>12</xdr:col>
      <xdr:colOff>1694870</xdr:colOff>
      <xdr:row>19</xdr:row>
      <xdr:rowOff>178590</xdr:rowOff>
    </xdr:to>
    <xdr:sp macro="" textlink="">
      <xdr:nvSpPr>
        <xdr:cNvPr id="7" name="Line 9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11488947" y="3864765"/>
          <a:ext cx="3690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37</xdr:row>
      <xdr:rowOff>11215</xdr:rowOff>
    </xdr:from>
    <xdr:to>
      <xdr:col>9</xdr:col>
      <xdr:colOff>560294</xdr:colOff>
      <xdr:row>39</xdr:row>
      <xdr:rowOff>271815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7126390"/>
          <a:ext cx="8123143" cy="879725"/>
        </a:xfrm>
        <a:prstGeom prst="rect">
          <a:avLst/>
        </a:prstGeom>
        <a:noFill/>
      </xdr:spPr>
    </xdr:pic>
    <xdr:clientData/>
  </xdr:twoCellAnchor>
  <xdr:twoCellAnchor>
    <xdr:from>
      <xdr:col>8</xdr:col>
      <xdr:colOff>44823</xdr:colOff>
      <xdr:row>15</xdr:row>
      <xdr:rowOff>168087</xdr:rowOff>
    </xdr:from>
    <xdr:to>
      <xdr:col>10</xdr:col>
      <xdr:colOff>1804147</xdr:colOff>
      <xdr:row>19</xdr:row>
      <xdr:rowOff>108382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 bwMode="auto">
        <a:xfrm>
          <a:off x="7351058" y="3104028"/>
          <a:ext cx="2622177" cy="702295"/>
        </a:xfrm>
        <a:prstGeom prst="flowChartProcess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1</a:t>
          </a:r>
          <a:r>
            <a:rPr kumimoji="1" lang="ja-JP" altLang="en-US" sz="1100"/>
            <a:t>分単位で記入して下さい。</a:t>
          </a:r>
          <a:endParaRPr kumimoji="1" lang="en-US" altLang="ja-JP" sz="1100"/>
        </a:p>
        <a:p>
          <a:pPr algn="ctr"/>
          <a:r>
            <a:rPr kumimoji="1" lang="ja-JP" altLang="en-US" sz="1100"/>
            <a:t>（従来は</a:t>
          </a:r>
          <a:r>
            <a:rPr kumimoji="1" lang="en-US" altLang="ja-JP" sz="1100"/>
            <a:t>15</a:t>
          </a:r>
          <a:r>
            <a:rPr kumimoji="1" lang="ja-JP" altLang="en-US" sz="1100"/>
            <a:t>分単位）</a:t>
          </a:r>
        </a:p>
      </xdr:txBody>
    </xdr:sp>
    <xdr:clientData/>
  </xdr:twoCellAnchor>
  <xdr:twoCellAnchor>
    <xdr:from>
      <xdr:col>9</xdr:col>
      <xdr:colOff>381000</xdr:colOff>
      <xdr:row>10</xdr:row>
      <xdr:rowOff>179294</xdr:rowOff>
    </xdr:from>
    <xdr:to>
      <xdr:col>10</xdr:col>
      <xdr:colOff>78440</xdr:colOff>
      <xdr:row>15</xdr:row>
      <xdr:rowOff>168080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 bwMode="auto">
        <a:xfrm flipH="1" flipV="1">
          <a:off x="7967382" y="2162735"/>
          <a:ext cx="280146" cy="94128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</xdr:col>
      <xdr:colOff>1804147</xdr:colOff>
      <xdr:row>17</xdr:row>
      <xdr:rowOff>138235</xdr:rowOff>
    </xdr:from>
    <xdr:to>
      <xdr:col>12</xdr:col>
      <xdr:colOff>1344706</xdr:colOff>
      <xdr:row>19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>
          <a:stCxn id="9" idx="3"/>
        </xdr:cNvCxnSpPr>
      </xdr:nvCxnSpPr>
      <xdr:spPr bwMode="auto">
        <a:xfrm>
          <a:off x="9973235" y="3455176"/>
          <a:ext cx="1568824" cy="24276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1514475</xdr:colOff>
      <xdr:row>35</xdr:row>
      <xdr:rowOff>0</xdr:rowOff>
    </xdr:from>
    <xdr:to>
      <xdr:col>9</xdr:col>
      <xdr:colOff>352425</xdr:colOff>
      <xdr:row>35</xdr:row>
      <xdr:rowOff>0</xdr:rowOff>
    </xdr:to>
    <xdr:sp macro="" textlink="">
      <xdr:nvSpPr>
        <xdr:cNvPr id="2" name="テキスト 45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6858000" y="5829300"/>
          <a:ext cx="0" cy="0"/>
        </a:xfrm>
        <a:prstGeom prst="rect">
          <a:avLst/>
        </a:prstGeom>
        <a:solidFill>
          <a:srgbClr val="E3E3E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所属長 </a:t>
          </a:r>
        </a:p>
      </xdr:txBody>
    </xdr:sp>
    <xdr:clientData/>
  </xdr:twoCellAnchor>
  <xdr:twoCellAnchor editAs="oneCell">
    <xdr:from>
      <xdr:col>8</xdr:col>
      <xdr:colOff>1590633</xdr:colOff>
      <xdr:row>35</xdr:row>
      <xdr:rowOff>59532</xdr:rowOff>
    </xdr:from>
    <xdr:to>
      <xdr:col>10</xdr:col>
      <xdr:colOff>17472</xdr:colOff>
      <xdr:row>40</xdr:row>
      <xdr:rowOff>9314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53508" y="8096251"/>
          <a:ext cx="1855839" cy="902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1514475</xdr:colOff>
      <xdr:row>35</xdr:row>
      <xdr:rowOff>0</xdr:rowOff>
    </xdr:from>
    <xdr:to>
      <xdr:col>9</xdr:col>
      <xdr:colOff>352425</xdr:colOff>
      <xdr:row>35</xdr:row>
      <xdr:rowOff>0</xdr:rowOff>
    </xdr:to>
    <xdr:sp macro="" textlink="">
      <xdr:nvSpPr>
        <xdr:cNvPr id="2" name="テキスト 45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1182350" y="8105775"/>
          <a:ext cx="0" cy="0"/>
        </a:xfrm>
        <a:prstGeom prst="rect">
          <a:avLst/>
        </a:prstGeom>
        <a:solidFill>
          <a:srgbClr val="E3E3E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所属長 </a:t>
          </a:r>
        </a:p>
      </xdr:txBody>
    </xdr:sp>
    <xdr:clientData/>
  </xdr:twoCellAnchor>
  <xdr:twoCellAnchor editAs="oneCell">
    <xdr:from>
      <xdr:col>8</xdr:col>
      <xdr:colOff>1590633</xdr:colOff>
      <xdr:row>35</xdr:row>
      <xdr:rowOff>59532</xdr:rowOff>
    </xdr:from>
    <xdr:to>
      <xdr:col>10</xdr:col>
      <xdr:colOff>17472</xdr:colOff>
      <xdr:row>40</xdr:row>
      <xdr:rowOff>9314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43983" y="8165307"/>
          <a:ext cx="1855839" cy="902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785812</xdr:colOff>
      <xdr:row>25</xdr:row>
      <xdr:rowOff>59530</xdr:rowOff>
    </xdr:from>
    <xdr:to>
      <xdr:col>8</xdr:col>
      <xdr:colOff>2488406</xdr:colOff>
      <xdr:row>27</xdr:row>
      <xdr:rowOff>201530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 bwMode="auto">
        <a:xfrm>
          <a:off x="7631906" y="5834061"/>
          <a:ext cx="2619375" cy="594438"/>
        </a:xfrm>
        <a:prstGeom prst="wedgeRoundRectCallout">
          <a:avLst>
            <a:gd name="adj1" fmla="val -56204"/>
            <a:gd name="adj2" fmla="val -102695"/>
            <a:gd name="adj3" fmla="val 16667"/>
          </a:avLst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実働時間が</a:t>
          </a:r>
          <a:r>
            <a:rPr kumimoji="1" lang="en-US" altLang="ja-JP" sz="1100"/>
            <a:t>8</a:t>
          </a:r>
          <a:r>
            <a:rPr kumimoji="1" lang="ja-JP" altLang="en-US" sz="1100"/>
            <a:t>時間</a:t>
          </a:r>
          <a:r>
            <a:rPr kumimoji="1" lang="en-US" altLang="ja-JP" sz="1100"/>
            <a:t>15</a:t>
          </a:r>
          <a:r>
            <a:rPr kumimoji="1" lang="ja-JP" altLang="en-US" sz="1100"/>
            <a:t>分を超えた場合</a:t>
          </a:r>
          <a:endParaRPr kumimoji="1" lang="en-US" altLang="ja-JP" sz="1100"/>
        </a:p>
        <a:p>
          <a:pPr algn="ctr"/>
          <a:r>
            <a:rPr kumimoji="1" lang="en-US" altLang="ja-JP" sz="1100"/>
            <a:t>1</a:t>
          </a:r>
          <a:r>
            <a:rPr kumimoji="1" lang="ja-JP" altLang="en-US" sz="1100"/>
            <a:t>分単位で記入して下さい。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35</xdr:row>
      <xdr:rowOff>0</xdr:rowOff>
    </xdr:from>
    <xdr:to>
      <xdr:col>9</xdr:col>
      <xdr:colOff>0</xdr:colOff>
      <xdr:row>35</xdr:row>
      <xdr:rowOff>0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7343775" y="6686550"/>
          <a:ext cx="0" cy="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時間外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 Ｈ</a:t>
          </a:r>
        </a:p>
      </xdr:txBody>
    </xdr:sp>
    <xdr:clientData/>
  </xdr:twoCellAnchor>
  <xdr:twoCellAnchor editAs="oneCell">
    <xdr:from>
      <xdr:col>14</xdr:col>
      <xdr:colOff>818029</xdr:colOff>
      <xdr:row>38</xdr:row>
      <xdr:rowOff>128001</xdr:rowOff>
    </xdr:from>
    <xdr:to>
      <xdr:col>15</xdr:col>
      <xdr:colOff>4674</xdr:colOff>
      <xdr:row>44</xdr:row>
      <xdr:rowOff>27080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6879" y="7547976"/>
          <a:ext cx="1748870" cy="899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35</xdr:row>
      <xdr:rowOff>33617</xdr:rowOff>
    </xdr:from>
    <xdr:to>
      <xdr:col>15</xdr:col>
      <xdr:colOff>1</xdr:colOff>
      <xdr:row>38</xdr:row>
      <xdr:rowOff>65554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6720167"/>
          <a:ext cx="12411075" cy="7653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752D-7A2B-4BE7-99EF-E800AB8D377A}">
  <dimension ref="A1:R54"/>
  <sheetViews>
    <sheetView showGridLines="0" tabSelected="1" view="pageBreakPreview" zoomScaleNormal="85" zoomScaleSheetLayoutView="100" workbookViewId="0">
      <selection activeCell="G14" sqref="G14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179</v>
      </c>
      <c r="C3" s="268"/>
      <c r="F3" s="105" t="s">
        <v>176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147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369" t="s">
        <v>21</v>
      </c>
    </row>
    <row r="6" spans="1:18" s="194" customFormat="1" ht="15.6" customHeight="1" x14ac:dyDescent="0.15">
      <c r="A6" s="288">
        <v>42440</v>
      </c>
      <c r="B6" s="282" t="s">
        <v>138</v>
      </c>
      <c r="C6" s="283" t="s">
        <v>9</v>
      </c>
      <c r="D6" s="284" t="s">
        <v>11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158</v>
      </c>
      <c r="C7" s="283"/>
      <c r="D7" s="284" t="s">
        <v>177</v>
      </c>
      <c r="E7" s="284" t="s">
        <v>178</v>
      </c>
      <c r="F7" s="284"/>
      <c r="G7" s="285"/>
      <c r="H7" s="283" t="s">
        <v>3</v>
      </c>
      <c r="I7" s="284"/>
      <c r="J7" s="286">
        <f t="shared" ref="J7:J26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105</v>
      </c>
      <c r="C8" s="283" t="s">
        <v>9</v>
      </c>
      <c r="D8" s="284" t="s">
        <v>11</v>
      </c>
      <c r="E8" s="284" t="s">
        <v>11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106</v>
      </c>
      <c r="C9" s="283" t="s">
        <v>9</v>
      </c>
      <c r="D9" s="284" t="s">
        <v>11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107</v>
      </c>
      <c r="C10" s="283"/>
      <c r="D10" s="284" t="s">
        <v>177</v>
      </c>
      <c r="E10" s="284" t="s">
        <v>178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101</v>
      </c>
      <c r="C11" s="283"/>
      <c r="D11" s="284" t="s">
        <v>177</v>
      </c>
      <c r="E11" s="284" t="s">
        <v>178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" customHeight="1" x14ac:dyDescent="0.15">
      <c r="A12" s="286">
        <f t="shared" si="0"/>
        <v>42446</v>
      </c>
      <c r="B12" s="282" t="s">
        <v>102</v>
      </c>
      <c r="C12" s="283"/>
      <c r="D12" s="284" t="s">
        <v>177</v>
      </c>
      <c r="E12" s="284" t="s">
        <v>178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103</v>
      </c>
      <c r="C13" s="283"/>
      <c r="D13" s="284" t="s">
        <v>177</v>
      </c>
      <c r="E13" s="284" t="s">
        <v>178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104</v>
      </c>
      <c r="C14" s="283"/>
      <c r="D14" s="284" t="s">
        <v>177</v>
      </c>
      <c r="E14" s="284" t="s">
        <v>178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105</v>
      </c>
      <c r="C15" s="283" t="s">
        <v>9</v>
      </c>
      <c r="D15" s="284" t="s">
        <v>11</v>
      </c>
      <c r="E15" s="284" t="s">
        <v>11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106</v>
      </c>
      <c r="C16" s="283" t="s">
        <v>9</v>
      </c>
      <c r="D16" s="284" t="s">
        <v>11</v>
      </c>
      <c r="E16" s="284" t="s">
        <v>11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107</v>
      </c>
      <c r="C17" s="283"/>
      <c r="D17" s="284" t="s">
        <v>177</v>
      </c>
      <c r="E17" s="284" t="s">
        <v>178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101</v>
      </c>
      <c r="C18" s="283"/>
      <c r="D18" s="284" t="s">
        <v>177</v>
      </c>
      <c r="E18" s="284" t="s">
        <v>178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102</v>
      </c>
      <c r="C19" s="283"/>
      <c r="D19" s="284" t="s">
        <v>177</v>
      </c>
      <c r="E19" s="284" t="s">
        <v>178</v>
      </c>
      <c r="F19" s="284"/>
      <c r="G19" s="285"/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103</v>
      </c>
      <c r="C20" s="283"/>
      <c r="D20" s="284" t="s">
        <v>177</v>
      </c>
      <c r="E20" s="284" t="s">
        <v>178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104</v>
      </c>
      <c r="C21" s="283"/>
      <c r="D21" s="284" t="s">
        <v>177</v>
      </c>
      <c r="E21" s="284" t="s">
        <v>178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105</v>
      </c>
      <c r="C22" s="283" t="s">
        <v>9</v>
      </c>
      <c r="D22" s="284" t="s">
        <v>11</v>
      </c>
      <c r="E22" s="284" t="s">
        <v>11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v>28</v>
      </c>
      <c r="B23" s="282" t="s">
        <v>106</v>
      </c>
      <c r="C23" s="283" t="s">
        <v>9</v>
      </c>
      <c r="D23" s="284" t="s">
        <v>11</v>
      </c>
      <c r="E23" s="284" t="s">
        <v>11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v>29</v>
      </c>
      <c r="B24" s="399"/>
      <c r="C24" s="400"/>
      <c r="D24" s="401" t="s">
        <v>11</v>
      </c>
      <c r="E24" s="401" t="s">
        <v>11</v>
      </c>
      <c r="F24" s="401"/>
      <c r="G24" s="402"/>
      <c r="H24" s="400" t="s">
        <v>3</v>
      </c>
      <c r="I24" s="401"/>
      <c r="J24" s="403">
        <f t="shared" si="1"/>
        <v>42458</v>
      </c>
      <c r="K24" s="400" t="s">
        <v>3</v>
      </c>
      <c r="L24" s="400"/>
      <c r="M24" s="400" t="s">
        <v>3</v>
      </c>
      <c r="N24" s="400"/>
      <c r="O24" s="402"/>
    </row>
    <row r="25" spans="1:15" s="194" customFormat="1" ht="15.6" customHeight="1" x14ac:dyDescent="0.15">
      <c r="A25" s="286">
        <v>30</v>
      </c>
      <c r="B25" s="399"/>
      <c r="C25" s="400"/>
      <c r="D25" s="401" t="s">
        <v>11</v>
      </c>
      <c r="E25" s="401" t="s">
        <v>11</v>
      </c>
      <c r="F25" s="401"/>
      <c r="G25" s="402"/>
      <c r="H25" s="400" t="s">
        <v>3</v>
      </c>
      <c r="I25" s="401"/>
      <c r="J25" s="403">
        <f t="shared" si="1"/>
        <v>42459</v>
      </c>
      <c r="K25" s="400" t="s">
        <v>3</v>
      </c>
      <c r="L25" s="400"/>
      <c r="M25" s="400" t="s">
        <v>3</v>
      </c>
      <c r="N25" s="400"/>
      <c r="O25" s="402"/>
    </row>
    <row r="26" spans="1:15" s="194" customFormat="1" ht="15.6" customHeight="1" x14ac:dyDescent="0.15">
      <c r="A26" s="286">
        <v>31</v>
      </c>
      <c r="B26" s="399"/>
      <c r="C26" s="400"/>
      <c r="D26" s="401" t="s">
        <v>11</v>
      </c>
      <c r="E26" s="401" t="s">
        <v>11</v>
      </c>
      <c r="F26" s="401"/>
      <c r="G26" s="402"/>
      <c r="H26" s="400" t="s">
        <v>3</v>
      </c>
      <c r="I26" s="401"/>
      <c r="J26" s="403">
        <f t="shared" si="1"/>
        <v>42460</v>
      </c>
      <c r="K26" s="400" t="s">
        <v>3</v>
      </c>
      <c r="L26" s="400"/>
      <c r="M26" s="400" t="s">
        <v>3</v>
      </c>
      <c r="N26" s="400"/>
      <c r="O26" s="402"/>
    </row>
    <row r="27" spans="1:15" s="194" customFormat="1" ht="15.6" customHeight="1" x14ac:dyDescent="0.15">
      <c r="A27" s="286">
        <v>1</v>
      </c>
      <c r="B27" s="282" t="s">
        <v>171</v>
      </c>
      <c r="C27" s="283"/>
      <c r="D27" s="284" t="s">
        <v>177</v>
      </c>
      <c r="E27" s="284" t="s">
        <v>178</v>
      </c>
      <c r="F27" s="284"/>
      <c r="G27" s="285"/>
      <c r="H27" s="283" t="s">
        <v>3</v>
      </c>
      <c r="I27" s="284"/>
      <c r="J27" s="286">
        <v>1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134</v>
      </c>
      <c r="C28" s="283"/>
      <c r="D28" s="284" t="s">
        <v>177</v>
      </c>
      <c r="E28" s="284" t="s">
        <v>178</v>
      </c>
      <c r="F28" s="284"/>
      <c r="G28" s="285"/>
      <c r="H28" s="283" t="s">
        <v>3</v>
      </c>
      <c r="I28" s="284"/>
      <c r="J28" s="286">
        <v>2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102</v>
      </c>
      <c r="C29" s="283"/>
      <c r="D29" s="284" t="s">
        <v>177</v>
      </c>
      <c r="E29" s="284" t="s">
        <v>178</v>
      </c>
      <c r="F29" s="284"/>
      <c r="G29" s="285"/>
      <c r="H29" s="283" t="s">
        <v>3</v>
      </c>
      <c r="I29" s="284"/>
      <c r="J29" s="286">
        <v>3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103</v>
      </c>
      <c r="C30" s="283"/>
      <c r="D30" s="284" t="s">
        <v>177</v>
      </c>
      <c r="E30" s="284" t="s">
        <v>178</v>
      </c>
      <c r="F30" s="284"/>
      <c r="G30" s="285"/>
      <c r="H30" s="283" t="s">
        <v>3</v>
      </c>
      <c r="I30" s="284"/>
      <c r="J30" s="286">
        <v>4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104</v>
      </c>
      <c r="C31" s="283" t="s">
        <v>166</v>
      </c>
      <c r="D31" s="284" t="s">
        <v>177</v>
      </c>
      <c r="E31" s="284" t="s">
        <v>180</v>
      </c>
      <c r="F31" s="284"/>
      <c r="G31" s="285" t="s">
        <v>181</v>
      </c>
      <c r="H31" s="283" t="s">
        <v>3</v>
      </c>
      <c r="I31" s="284"/>
      <c r="J31" s="286">
        <v>5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105</v>
      </c>
      <c r="C32" s="283" t="s">
        <v>9</v>
      </c>
      <c r="D32" s="284" t="s">
        <v>11</v>
      </c>
      <c r="E32" s="284" t="s">
        <v>11</v>
      </c>
      <c r="F32" s="284"/>
      <c r="G32" s="285"/>
      <c r="H32" s="283" t="s">
        <v>3</v>
      </c>
      <c r="I32" s="284"/>
      <c r="J32" s="286">
        <v>6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106</v>
      </c>
      <c r="C33" s="283" t="s">
        <v>9</v>
      </c>
      <c r="D33" s="284" t="s">
        <v>11</v>
      </c>
      <c r="E33" s="284" t="s">
        <v>11</v>
      </c>
      <c r="F33" s="284"/>
      <c r="G33" s="285"/>
      <c r="H33" s="283" t="s">
        <v>3</v>
      </c>
      <c r="I33" s="284"/>
      <c r="J33" s="286">
        <v>7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107</v>
      </c>
      <c r="C34" s="283"/>
      <c r="D34" s="284" t="s">
        <v>177</v>
      </c>
      <c r="E34" s="284" t="s">
        <v>178</v>
      </c>
      <c r="F34" s="284"/>
      <c r="G34" s="285"/>
      <c r="H34" s="283" t="s">
        <v>3</v>
      </c>
      <c r="I34" s="284"/>
      <c r="J34" s="286">
        <v>8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101</v>
      </c>
      <c r="C35" s="283"/>
      <c r="D35" s="284" t="s">
        <v>177</v>
      </c>
      <c r="E35" s="284" t="s">
        <v>178</v>
      </c>
      <c r="F35" s="284"/>
      <c r="G35" s="285"/>
      <c r="H35" s="283" t="s">
        <v>3</v>
      </c>
      <c r="I35" s="284"/>
      <c r="J35" s="286">
        <v>9</v>
      </c>
      <c r="K35" s="283" t="s">
        <v>3</v>
      </c>
      <c r="L35" s="283"/>
      <c r="M35" s="283" t="s">
        <v>3</v>
      </c>
      <c r="N35" s="283"/>
      <c r="O35" s="285"/>
    </row>
    <row r="36" spans="1:15" s="194" customFormat="1" ht="15.6" customHeight="1" x14ac:dyDescent="0.15">
      <c r="A36" s="286">
        <v>10</v>
      </c>
      <c r="B36" s="282" t="s">
        <v>102</v>
      </c>
      <c r="C36" s="283"/>
      <c r="D36" s="284" t="s">
        <v>177</v>
      </c>
      <c r="E36" s="284" t="s">
        <v>178</v>
      </c>
      <c r="F36" s="284"/>
      <c r="G36" s="285"/>
      <c r="H36" s="283" t="s">
        <v>3</v>
      </c>
      <c r="I36" s="284"/>
      <c r="J36" s="286"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6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E4D5-E159-4C68-B13C-7C9F5D79EE81}">
  <dimension ref="A1:R54"/>
  <sheetViews>
    <sheetView showGridLines="0" view="pageBreakPreview" zoomScaleNormal="85" zoomScaleSheetLayoutView="100" workbookViewId="0">
      <selection activeCell="E8" sqref="E8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170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147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368" t="s">
        <v>21</v>
      </c>
    </row>
    <row r="6" spans="1:18" s="194" customFormat="1" ht="15.6" customHeight="1" x14ac:dyDescent="0.15">
      <c r="A6" s="288">
        <v>42440</v>
      </c>
      <c r="B6" s="282" t="s">
        <v>109</v>
      </c>
      <c r="C6" s="283" t="s">
        <v>9</v>
      </c>
      <c r="D6" s="284" t="s">
        <v>11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171</v>
      </c>
      <c r="C7" s="283"/>
      <c r="D7" s="284" t="s">
        <v>173</v>
      </c>
      <c r="E7" s="284" t="s">
        <v>174</v>
      </c>
      <c r="F7" s="284"/>
      <c r="G7" s="285" t="s">
        <v>175</v>
      </c>
      <c r="H7" s="283" t="s">
        <v>3</v>
      </c>
      <c r="I7" s="284"/>
      <c r="J7" s="286">
        <f t="shared" ref="J7:J26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101</v>
      </c>
      <c r="C8" s="283"/>
      <c r="D8" s="284" t="s">
        <v>151</v>
      </c>
      <c r="E8" s="284" t="s">
        <v>152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102</v>
      </c>
      <c r="C9" s="283"/>
      <c r="D9" s="284" t="s">
        <v>151</v>
      </c>
      <c r="E9" s="284" t="s">
        <v>152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103</v>
      </c>
      <c r="C10" s="283"/>
      <c r="D10" s="284" t="s">
        <v>151</v>
      </c>
      <c r="E10" s="284" t="s">
        <v>152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104</v>
      </c>
      <c r="C11" s="283"/>
      <c r="D11" s="284" t="s">
        <v>151</v>
      </c>
      <c r="E11" s="284" t="s">
        <v>152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105</v>
      </c>
      <c r="C12" s="283" t="s">
        <v>9</v>
      </c>
      <c r="D12" s="284" t="s">
        <v>11</v>
      </c>
      <c r="E12" s="284" t="s">
        <v>11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106</v>
      </c>
      <c r="C13" s="283" t="s">
        <v>9</v>
      </c>
      <c r="D13" s="284" t="s">
        <v>11</v>
      </c>
      <c r="E13" s="284" t="s">
        <v>11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107</v>
      </c>
      <c r="C14" s="283"/>
      <c r="D14" s="284" t="s">
        <v>173</v>
      </c>
      <c r="E14" s="284" t="s">
        <v>174</v>
      </c>
      <c r="F14" s="284"/>
      <c r="G14" s="285" t="s">
        <v>175</v>
      </c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101</v>
      </c>
      <c r="C15" s="283"/>
      <c r="D15" s="284" t="s">
        <v>151</v>
      </c>
      <c r="E15" s="284" t="s">
        <v>152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102</v>
      </c>
      <c r="C16" s="283"/>
      <c r="D16" s="284" t="s">
        <v>151</v>
      </c>
      <c r="E16" s="284" t="s">
        <v>152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103</v>
      </c>
      <c r="C17" s="283"/>
      <c r="D17" s="284" t="s">
        <v>151</v>
      </c>
      <c r="E17" s="284" t="s">
        <v>152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104</v>
      </c>
      <c r="C18" s="283"/>
      <c r="D18" s="284" t="s">
        <v>151</v>
      </c>
      <c r="E18" s="284" t="s">
        <v>152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105</v>
      </c>
      <c r="C19" s="283" t="s">
        <v>9</v>
      </c>
      <c r="D19" s="284" t="s">
        <v>11</v>
      </c>
      <c r="E19" s="284" t="s">
        <v>11</v>
      </c>
      <c r="F19" s="284"/>
      <c r="G19" s="285"/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106</v>
      </c>
      <c r="C20" s="283" t="s">
        <v>9</v>
      </c>
      <c r="D20" s="284" t="s">
        <v>11</v>
      </c>
      <c r="E20" s="284" t="s">
        <v>11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107</v>
      </c>
      <c r="C21" s="283"/>
      <c r="D21" s="284" t="s">
        <v>173</v>
      </c>
      <c r="E21" s="284" t="s">
        <v>174</v>
      </c>
      <c r="F21" s="284"/>
      <c r="G21" s="285" t="s">
        <v>175</v>
      </c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101</v>
      </c>
      <c r="C22" s="283"/>
      <c r="D22" s="284" t="s">
        <v>151</v>
      </c>
      <c r="E22" s="284" t="s">
        <v>152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v>28</v>
      </c>
      <c r="B23" s="282" t="s">
        <v>102</v>
      </c>
      <c r="C23" s="283"/>
      <c r="D23" s="284" t="s">
        <v>151</v>
      </c>
      <c r="E23" s="284" t="s">
        <v>152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v>29</v>
      </c>
      <c r="B24" s="282" t="s">
        <v>103</v>
      </c>
      <c r="C24" s="283"/>
      <c r="D24" s="284" t="s">
        <v>151</v>
      </c>
      <c r="E24" s="284" t="s">
        <v>152</v>
      </c>
      <c r="F24" s="284"/>
      <c r="G24" s="285"/>
      <c r="H24" s="283" t="s">
        <v>3</v>
      </c>
      <c r="I24" s="284"/>
      <c r="J24" s="286">
        <f t="shared" si="1"/>
        <v>42458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v>30</v>
      </c>
      <c r="B25" s="282" t="s">
        <v>104</v>
      </c>
      <c r="C25" s="283"/>
      <c r="D25" s="284" t="s">
        <v>151</v>
      </c>
      <c r="E25" s="284" t="s">
        <v>152</v>
      </c>
      <c r="F25" s="284"/>
      <c r="G25" s="285"/>
      <c r="H25" s="283" t="s">
        <v>3</v>
      </c>
      <c r="I25" s="284"/>
      <c r="J25" s="286">
        <f t="shared" si="1"/>
        <v>42459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31</v>
      </c>
      <c r="B26" s="282" t="s">
        <v>105</v>
      </c>
      <c r="C26" s="283" t="s">
        <v>9</v>
      </c>
      <c r="D26" s="284" t="s">
        <v>11</v>
      </c>
      <c r="E26" s="284" t="s">
        <v>11</v>
      </c>
      <c r="F26" s="284"/>
      <c r="G26" s="285"/>
      <c r="H26" s="283" t="s">
        <v>3</v>
      </c>
      <c r="I26" s="284"/>
      <c r="J26" s="286">
        <f t="shared" si="1"/>
        <v>42460</v>
      </c>
      <c r="K26" s="283" t="s">
        <v>3</v>
      </c>
      <c r="L26" s="283"/>
      <c r="M26" s="283" t="s">
        <v>3</v>
      </c>
      <c r="N26" s="283"/>
      <c r="O26" s="285"/>
    </row>
    <row r="27" spans="1:15" s="194" customFormat="1" ht="15.6" customHeight="1" x14ac:dyDescent="0.15">
      <c r="A27" s="286">
        <v>1</v>
      </c>
      <c r="B27" s="282" t="s">
        <v>106</v>
      </c>
      <c r="C27" s="283" t="s">
        <v>9</v>
      </c>
      <c r="D27" s="284" t="s">
        <v>11</v>
      </c>
      <c r="E27" s="284" t="s">
        <v>11</v>
      </c>
      <c r="F27" s="284"/>
      <c r="G27" s="285"/>
      <c r="H27" s="283" t="s">
        <v>3</v>
      </c>
      <c r="I27" s="284"/>
      <c r="J27" s="286">
        <v>1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107</v>
      </c>
      <c r="C28" s="283"/>
      <c r="D28" s="284" t="s">
        <v>173</v>
      </c>
      <c r="E28" s="284" t="s">
        <v>174</v>
      </c>
      <c r="F28" s="284"/>
      <c r="G28" s="285" t="s">
        <v>175</v>
      </c>
      <c r="H28" s="283" t="s">
        <v>3</v>
      </c>
      <c r="I28" s="284"/>
      <c r="J28" s="286">
        <v>2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101</v>
      </c>
      <c r="C29" s="283" t="s">
        <v>150</v>
      </c>
      <c r="D29" s="284" t="s">
        <v>11</v>
      </c>
      <c r="E29" s="284" t="s">
        <v>11</v>
      </c>
      <c r="F29" s="284"/>
      <c r="G29" s="285"/>
      <c r="H29" s="283" t="s">
        <v>3</v>
      </c>
      <c r="I29" s="284"/>
      <c r="J29" s="286">
        <v>3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102</v>
      </c>
      <c r="C30" s="283"/>
      <c r="D30" s="284" t="s">
        <v>151</v>
      </c>
      <c r="E30" s="284" t="s">
        <v>152</v>
      </c>
      <c r="F30" s="284"/>
      <c r="G30" s="285"/>
      <c r="H30" s="283" t="s">
        <v>3</v>
      </c>
      <c r="I30" s="284"/>
      <c r="J30" s="286">
        <v>4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103</v>
      </c>
      <c r="C31" s="283"/>
      <c r="D31" s="284" t="s">
        <v>151</v>
      </c>
      <c r="E31" s="284" t="s">
        <v>152</v>
      </c>
      <c r="F31" s="284"/>
      <c r="G31" s="285"/>
      <c r="H31" s="283" t="s">
        <v>3</v>
      </c>
      <c r="I31" s="284"/>
      <c r="J31" s="286">
        <v>5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104</v>
      </c>
      <c r="C32" s="283" t="s">
        <v>166</v>
      </c>
      <c r="D32" s="284" t="s">
        <v>151</v>
      </c>
      <c r="E32" s="284" t="s">
        <v>172</v>
      </c>
      <c r="F32" s="284"/>
      <c r="G32" s="285"/>
      <c r="H32" s="283" t="s">
        <v>3</v>
      </c>
      <c r="I32" s="284"/>
      <c r="J32" s="286">
        <v>6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105</v>
      </c>
      <c r="C33" s="283" t="s">
        <v>9</v>
      </c>
      <c r="D33" s="284" t="s">
        <v>11</v>
      </c>
      <c r="E33" s="284" t="s">
        <v>11</v>
      </c>
      <c r="F33" s="284"/>
      <c r="G33" s="285"/>
      <c r="H33" s="283" t="s">
        <v>3</v>
      </c>
      <c r="I33" s="284"/>
      <c r="J33" s="286">
        <v>7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106</v>
      </c>
      <c r="C34" s="283" t="s">
        <v>9</v>
      </c>
      <c r="D34" s="284" t="s">
        <v>11</v>
      </c>
      <c r="E34" s="284" t="s">
        <v>11</v>
      </c>
      <c r="F34" s="284"/>
      <c r="G34" s="285"/>
      <c r="H34" s="283" t="s">
        <v>3</v>
      </c>
      <c r="I34" s="284"/>
      <c r="J34" s="286">
        <v>8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107</v>
      </c>
      <c r="C35" s="283"/>
      <c r="D35" s="284" t="s">
        <v>173</v>
      </c>
      <c r="E35" s="284" t="s">
        <v>174</v>
      </c>
      <c r="F35" s="284"/>
      <c r="G35" s="285" t="s">
        <v>175</v>
      </c>
      <c r="H35" s="283" t="s">
        <v>3</v>
      </c>
      <c r="I35" s="284"/>
      <c r="J35" s="286">
        <v>9</v>
      </c>
      <c r="K35" s="283" t="s">
        <v>3</v>
      </c>
      <c r="L35" s="283"/>
      <c r="M35" s="283" t="s">
        <v>3</v>
      </c>
      <c r="N35" s="283"/>
      <c r="O35" s="285"/>
    </row>
    <row r="36" spans="1:15" s="194" customFormat="1" ht="15.6" customHeight="1" x14ac:dyDescent="0.15">
      <c r="A36" s="286">
        <v>10</v>
      </c>
      <c r="B36" s="282" t="s">
        <v>101</v>
      </c>
      <c r="C36" s="283"/>
      <c r="D36" s="284" t="s">
        <v>151</v>
      </c>
      <c r="E36" s="284" t="s">
        <v>152</v>
      </c>
      <c r="F36" s="284"/>
      <c r="G36" s="285"/>
      <c r="H36" s="283" t="s">
        <v>3</v>
      </c>
      <c r="I36" s="284"/>
      <c r="J36" s="286"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showGridLines="0" view="pageBreakPreview" zoomScaleNormal="85" zoomScaleSheetLayoutView="100" workbookViewId="0">
      <selection activeCell="M15" sqref="M15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164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147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293" t="s">
        <v>21</v>
      </c>
    </row>
    <row r="6" spans="1:18" s="194" customFormat="1" ht="15.6" customHeight="1" x14ac:dyDescent="0.15">
      <c r="A6" s="288">
        <v>42440</v>
      </c>
      <c r="B6" s="282" t="s">
        <v>134</v>
      </c>
      <c r="C6" s="283"/>
      <c r="D6" s="284" t="s">
        <v>151</v>
      </c>
      <c r="E6" s="284" t="s">
        <v>152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165</v>
      </c>
      <c r="C7" s="283"/>
      <c r="D7" s="284" t="s">
        <v>151</v>
      </c>
      <c r="E7" s="284" t="s">
        <v>152</v>
      </c>
      <c r="F7" s="284"/>
      <c r="G7" s="285"/>
      <c r="H7" s="283" t="s">
        <v>3</v>
      </c>
      <c r="I7" s="284"/>
      <c r="J7" s="286">
        <f t="shared" ref="J7:J26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103</v>
      </c>
      <c r="C8" s="283"/>
      <c r="D8" s="284" t="s">
        <v>151</v>
      </c>
      <c r="E8" s="284" t="s">
        <v>152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104</v>
      </c>
      <c r="C9" s="283" t="s">
        <v>150</v>
      </c>
      <c r="D9" s="284" t="s">
        <v>11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105</v>
      </c>
      <c r="C10" s="283" t="s">
        <v>9</v>
      </c>
      <c r="D10" s="284" t="s">
        <v>11</v>
      </c>
      <c r="E10" s="284" t="s">
        <v>11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106</v>
      </c>
      <c r="C11" s="283" t="s">
        <v>9</v>
      </c>
      <c r="D11" s="284" t="s">
        <v>11</v>
      </c>
      <c r="E11" s="284" t="s">
        <v>11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107</v>
      </c>
      <c r="C12" s="283"/>
      <c r="D12" s="284" t="s">
        <v>151</v>
      </c>
      <c r="E12" s="284" t="s">
        <v>152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101</v>
      </c>
      <c r="C13" s="283"/>
      <c r="D13" s="284" t="s">
        <v>151</v>
      </c>
      <c r="E13" s="284" t="s">
        <v>152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102</v>
      </c>
      <c r="C14" s="283" t="s">
        <v>166</v>
      </c>
      <c r="D14" s="284" t="s">
        <v>151</v>
      </c>
      <c r="E14" s="284" t="s">
        <v>169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103</v>
      </c>
      <c r="C15" s="283"/>
      <c r="D15" s="284" t="s">
        <v>151</v>
      </c>
      <c r="E15" s="284" t="s">
        <v>152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104</v>
      </c>
      <c r="C16" s="283"/>
      <c r="D16" s="284" t="s">
        <v>151</v>
      </c>
      <c r="E16" s="284" t="s">
        <v>152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105</v>
      </c>
      <c r="C17" s="283" t="s">
        <v>9</v>
      </c>
      <c r="D17" s="284" t="s">
        <v>11</v>
      </c>
      <c r="E17" s="284" t="s">
        <v>11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106</v>
      </c>
      <c r="C18" s="283" t="s">
        <v>9</v>
      </c>
      <c r="D18" s="284" t="s">
        <v>11</v>
      </c>
      <c r="E18" s="284" t="s">
        <v>11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107</v>
      </c>
      <c r="C19" s="283"/>
      <c r="D19" s="284" t="s">
        <v>151</v>
      </c>
      <c r="E19" s="284" t="s">
        <v>152</v>
      </c>
      <c r="F19" s="284"/>
      <c r="G19" s="285"/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101</v>
      </c>
      <c r="C20" s="283"/>
      <c r="D20" s="284" t="s">
        <v>151</v>
      </c>
      <c r="E20" s="284" t="s">
        <v>152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102</v>
      </c>
      <c r="C21" s="283" t="s">
        <v>150</v>
      </c>
      <c r="D21" s="284" t="s">
        <v>11</v>
      </c>
      <c r="E21" s="284" t="s">
        <v>11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103</v>
      </c>
      <c r="C22" s="283"/>
      <c r="D22" s="284" t="s">
        <v>151</v>
      </c>
      <c r="E22" s="284" t="s">
        <v>152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v>28</v>
      </c>
      <c r="B23" s="282" t="s">
        <v>104</v>
      </c>
      <c r="C23" s="283"/>
      <c r="D23" s="284" t="s">
        <v>151</v>
      </c>
      <c r="E23" s="284" t="s">
        <v>152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v>29</v>
      </c>
      <c r="B24" s="282" t="s">
        <v>105</v>
      </c>
      <c r="C24" s="283" t="s">
        <v>9</v>
      </c>
      <c r="D24" s="284" t="s">
        <v>11</v>
      </c>
      <c r="E24" s="284" t="s">
        <v>11</v>
      </c>
      <c r="F24" s="284"/>
      <c r="G24" s="285"/>
      <c r="H24" s="283" t="s">
        <v>3</v>
      </c>
      <c r="I24" s="284"/>
      <c r="J24" s="286">
        <f t="shared" si="1"/>
        <v>42458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v>30</v>
      </c>
      <c r="B25" s="282" t="s">
        <v>106</v>
      </c>
      <c r="C25" s="283" t="s">
        <v>9</v>
      </c>
      <c r="D25" s="284" t="s">
        <v>11</v>
      </c>
      <c r="E25" s="284" t="s">
        <v>11</v>
      </c>
      <c r="F25" s="284"/>
      <c r="G25" s="285"/>
      <c r="H25" s="283" t="s">
        <v>3</v>
      </c>
      <c r="I25" s="284"/>
      <c r="J25" s="286">
        <f t="shared" si="1"/>
        <v>42459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31</v>
      </c>
      <c r="B26" s="282" t="s">
        <v>107</v>
      </c>
      <c r="C26" s="283"/>
      <c r="D26" s="284" t="s">
        <v>151</v>
      </c>
      <c r="E26" s="284" t="s">
        <v>152</v>
      </c>
      <c r="F26" s="284"/>
      <c r="G26" s="285"/>
      <c r="H26" s="283" t="s">
        <v>3</v>
      </c>
      <c r="I26" s="284"/>
      <c r="J26" s="286">
        <f t="shared" si="1"/>
        <v>42460</v>
      </c>
      <c r="K26" s="283" t="s">
        <v>3</v>
      </c>
      <c r="L26" s="283"/>
      <c r="M26" s="283" t="s">
        <v>3</v>
      </c>
      <c r="N26" s="283"/>
      <c r="O26" s="285"/>
    </row>
    <row r="27" spans="1:15" s="194" customFormat="1" ht="15.6" customHeight="1" x14ac:dyDescent="0.15">
      <c r="A27" s="286">
        <v>1</v>
      </c>
      <c r="B27" s="282" t="s">
        <v>101</v>
      </c>
      <c r="C27" s="283"/>
      <c r="D27" s="284" t="s">
        <v>151</v>
      </c>
      <c r="E27" s="284" t="s">
        <v>152</v>
      </c>
      <c r="F27" s="284"/>
      <c r="G27" s="285"/>
      <c r="H27" s="283" t="s">
        <v>3</v>
      </c>
      <c r="I27" s="284"/>
      <c r="J27" s="286">
        <v>1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102</v>
      </c>
      <c r="C28" s="283"/>
      <c r="D28" s="284" t="s">
        <v>167</v>
      </c>
      <c r="E28" s="284" t="s">
        <v>168</v>
      </c>
      <c r="F28" s="284"/>
      <c r="G28" s="285"/>
      <c r="H28" s="283" t="s">
        <v>3</v>
      </c>
      <c r="I28" s="284"/>
      <c r="J28" s="286">
        <v>2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103</v>
      </c>
      <c r="C29" s="283"/>
      <c r="D29" s="284" t="s">
        <v>151</v>
      </c>
      <c r="E29" s="284" t="s">
        <v>152</v>
      </c>
      <c r="F29" s="284"/>
      <c r="G29" s="285"/>
      <c r="H29" s="283" t="s">
        <v>3</v>
      </c>
      <c r="I29" s="284"/>
      <c r="J29" s="286">
        <v>3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104</v>
      </c>
      <c r="C30" s="283"/>
      <c r="D30" s="284" t="s">
        <v>151</v>
      </c>
      <c r="E30" s="284" t="s">
        <v>152</v>
      </c>
      <c r="F30" s="284"/>
      <c r="G30" s="285"/>
      <c r="H30" s="283" t="s">
        <v>3</v>
      </c>
      <c r="I30" s="284"/>
      <c r="J30" s="286">
        <v>4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105</v>
      </c>
      <c r="C31" s="283" t="s">
        <v>9</v>
      </c>
      <c r="D31" s="284" t="s">
        <v>11</v>
      </c>
      <c r="E31" s="284" t="s">
        <v>11</v>
      </c>
      <c r="F31" s="284"/>
      <c r="G31" s="285"/>
      <c r="H31" s="283" t="s">
        <v>3</v>
      </c>
      <c r="I31" s="284"/>
      <c r="J31" s="286">
        <v>5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106</v>
      </c>
      <c r="C32" s="283" t="s">
        <v>9</v>
      </c>
      <c r="D32" s="284" t="s">
        <v>11</v>
      </c>
      <c r="E32" s="284" t="s">
        <v>11</v>
      </c>
      <c r="F32" s="284"/>
      <c r="G32" s="285"/>
      <c r="H32" s="283" t="s">
        <v>3</v>
      </c>
      <c r="I32" s="284"/>
      <c r="J32" s="286">
        <v>6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107</v>
      </c>
      <c r="C33" s="283"/>
      <c r="D33" s="284" t="s">
        <v>151</v>
      </c>
      <c r="E33" s="284" t="s">
        <v>152</v>
      </c>
      <c r="F33" s="284"/>
      <c r="G33" s="285"/>
      <c r="H33" s="283" t="s">
        <v>3</v>
      </c>
      <c r="I33" s="284"/>
      <c r="J33" s="286">
        <v>7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101</v>
      </c>
      <c r="C34" s="283"/>
      <c r="D34" s="284" t="s">
        <v>151</v>
      </c>
      <c r="E34" s="284" t="s">
        <v>152</v>
      </c>
      <c r="F34" s="284"/>
      <c r="G34" s="285"/>
      <c r="H34" s="283" t="s">
        <v>3</v>
      </c>
      <c r="I34" s="284"/>
      <c r="J34" s="286">
        <v>8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102</v>
      </c>
      <c r="C35" s="283"/>
      <c r="D35" s="284" t="s">
        <v>151</v>
      </c>
      <c r="E35" s="284" t="s">
        <v>152</v>
      </c>
      <c r="F35" s="284"/>
      <c r="G35" s="285"/>
      <c r="H35" s="283" t="s">
        <v>3</v>
      </c>
      <c r="I35" s="284"/>
      <c r="J35" s="286">
        <v>9</v>
      </c>
      <c r="K35" s="283" t="s">
        <v>3</v>
      </c>
      <c r="L35" s="283"/>
      <c r="M35" s="283" t="s">
        <v>3</v>
      </c>
      <c r="N35" s="283"/>
      <c r="O35" s="285"/>
    </row>
    <row r="36" spans="1:15" s="194" customFormat="1" ht="15.6" customHeight="1" x14ac:dyDescent="0.15">
      <c r="A36" s="286">
        <v>10</v>
      </c>
      <c r="B36" s="282" t="s">
        <v>103</v>
      </c>
      <c r="C36" s="283"/>
      <c r="D36" s="284" t="s">
        <v>151</v>
      </c>
      <c r="E36" s="284" t="s">
        <v>152</v>
      </c>
      <c r="F36" s="284"/>
      <c r="G36" s="285"/>
      <c r="H36" s="283" t="s">
        <v>3</v>
      </c>
      <c r="I36" s="284"/>
      <c r="J36" s="286"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showGridLines="0" view="pageBreakPreview" topLeftCell="A4" zoomScaleNormal="85" zoomScaleSheetLayoutView="100" workbookViewId="0">
      <selection activeCell="D11" sqref="D11:E11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148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147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292" t="s">
        <v>21</v>
      </c>
    </row>
    <row r="6" spans="1:18" s="194" customFormat="1" ht="15.6" customHeight="1" x14ac:dyDescent="0.15">
      <c r="A6" s="288">
        <v>42440</v>
      </c>
      <c r="B6" s="282" t="s">
        <v>108</v>
      </c>
      <c r="C6" s="283" t="s">
        <v>9</v>
      </c>
      <c r="D6" s="284" t="s">
        <v>137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109</v>
      </c>
      <c r="C7" s="283" t="s">
        <v>9</v>
      </c>
      <c r="D7" s="284" t="s">
        <v>137</v>
      </c>
      <c r="E7" s="284" t="s">
        <v>11</v>
      </c>
      <c r="F7" s="284"/>
      <c r="G7" s="285"/>
      <c r="H7" s="283" t="s">
        <v>3</v>
      </c>
      <c r="I7" s="284"/>
      <c r="J7" s="286">
        <f t="shared" ref="J7:J23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107</v>
      </c>
      <c r="C8" s="283" t="s">
        <v>149</v>
      </c>
      <c r="D8" s="284" t="s">
        <v>137</v>
      </c>
      <c r="E8" s="284" t="s">
        <v>11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101</v>
      </c>
      <c r="C9" s="283" t="s">
        <v>149</v>
      </c>
      <c r="D9" s="284" t="s">
        <v>137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102</v>
      </c>
      <c r="C10" s="283" t="s">
        <v>149</v>
      </c>
      <c r="D10" s="284" t="s">
        <v>137</v>
      </c>
      <c r="E10" s="284" t="s">
        <v>11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103</v>
      </c>
      <c r="C11" s="283"/>
      <c r="D11" s="284" t="s">
        <v>151</v>
      </c>
      <c r="E11" s="284" t="s">
        <v>152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104</v>
      </c>
      <c r="C12" s="283"/>
      <c r="D12" s="284" t="s">
        <v>151</v>
      </c>
      <c r="E12" s="284" t="s">
        <v>152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105</v>
      </c>
      <c r="C13" s="283" t="s">
        <v>9</v>
      </c>
      <c r="D13" s="284" t="s">
        <v>137</v>
      </c>
      <c r="E13" s="284" t="s">
        <v>11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106</v>
      </c>
      <c r="C14" s="283" t="s">
        <v>9</v>
      </c>
      <c r="D14" s="284" t="s">
        <v>137</v>
      </c>
      <c r="E14" s="284" t="s">
        <v>11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107</v>
      </c>
      <c r="C15" s="283"/>
      <c r="D15" s="284" t="s">
        <v>151</v>
      </c>
      <c r="E15" s="284" t="s">
        <v>152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101</v>
      </c>
      <c r="C16" s="283"/>
      <c r="D16" s="284" t="s">
        <v>151</v>
      </c>
      <c r="E16" s="284" t="s">
        <v>152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102</v>
      </c>
      <c r="C17" s="283"/>
      <c r="D17" s="284" t="s">
        <v>151</v>
      </c>
      <c r="E17" s="284" t="s">
        <v>152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103</v>
      </c>
      <c r="C18" s="283"/>
      <c r="D18" s="284" t="s">
        <v>151</v>
      </c>
      <c r="E18" s="284" t="s">
        <v>152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104</v>
      </c>
      <c r="C19" s="283"/>
      <c r="D19" s="284" t="s">
        <v>151</v>
      </c>
      <c r="E19" s="284" t="s">
        <v>152</v>
      </c>
      <c r="F19" s="284"/>
      <c r="G19" s="285"/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105</v>
      </c>
      <c r="C20" s="283" t="s">
        <v>9</v>
      </c>
      <c r="D20" s="284" t="s">
        <v>137</v>
      </c>
      <c r="E20" s="284" t="s">
        <v>11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106</v>
      </c>
      <c r="C21" s="283" t="s">
        <v>9</v>
      </c>
      <c r="D21" s="284" t="s">
        <v>137</v>
      </c>
      <c r="E21" s="284" t="s">
        <v>11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107</v>
      </c>
      <c r="C22" s="283"/>
      <c r="D22" s="284" t="s">
        <v>151</v>
      </c>
      <c r="E22" s="284" t="s">
        <v>152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f t="shared" si="0"/>
        <v>42457</v>
      </c>
      <c r="B23" s="282" t="s">
        <v>101</v>
      </c>
      <c r="C23" s="283"/>
      <c r="D23" s="284" t="s">
        <v>151</v>
      </c>
      <c r="E23" s="284" t="s">
        <v>152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f t="shared" si="0"/>
        <v>42458</v>
      </c>
      <c r="B24" s="282" t="s">
        <v>102</v>
      </c>
      <c r="C24" s="283"/>
      <c r="D24" s="284" t="s">
        <v>151</v>
      </c>
      <c r="E24" s="284" t="s">
        <v>152</v>
      </c>
      <c r="F24" s="284"/>
      <c r="G24" s="285"/>
      <c r="H24" s="283" t="s">
        <v>3</v>
      </c>
      <c r="I24" s="284"/>
      <c r="J24" s="286">
        <v>29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f t="shared" si="0"/>
        <v>42459</v>
      </c>
      <c r="B25" s="282" t="s">
        <v>103</v>
      </c>
      <c r="C25" s="283"/>
      <c r="D25" s="284" t="s">
        <v>151</v>
      </c>
      <c r="E25" s="284" t="s">
        <v>152</v>
      </c>
      <c r="F25" s="284"/>
      <c r="G25" s="285"/>
      <c r="H25" s="283" t="s">
        <v>3</v>
      </c>
      <c r="I25" s="284"/>
      <c r="J25" s="286">
        <v>30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31</v>
      </c>
      <c r="B26" s="282" t="s">
        <v>104</v>
      </c>
      <c r="C26" s="283"/>
      <c r="D26" s="284" t="s">
        <v>151</v>
      </c>
      <c r="E26" s="284" t="s">
        <v>152</v>
      </c>
      <c r="F26" s="284"/>
      <c r="G26" s="285"/>
      <c r="H26" s="283" t="s">
        <v>3</v>
      </c>
      <c r="I26" s="284"/>
      <c r="J26" s="286">
        <v>31</v>
      </c>
      <c r="K26" s="283" t="s">
        <v>3</v>
      </c>
      <c r="L26" s="283"/>
      <c r="M26" s="283" t="s">
        <v>3</v>
      </c>
      <c r="N26" s="283"/>
      <c r="O26" s="285"/>
    </row>
    <row r="27" spans="1:15" s="194" customFormat="1" ht="15.6" customHeight="1" x14ac:dyDescent="0.15">
      <c r="A27" s="286">
        <v>1</v>
      </c>
      <c r="B27" s="282" t="s">
        <v>105</v>
      </c>
      <c r="C27" s="283" t="s">
        <v>9</v>
      </c>
      <c r="D27" s="284" t="s">
        <v>137</v>
      </c>
      <c r="E27" s="284" t="s">
        <v>11</v>
      </c>
      <c r="F27" s="284"/>
      <c r="G27" s="285"/>
      <c r="H27" s="283" t="s">
        <v>3</v>
      </c>
      <c r="I27" s="284"/>
      <c r="J27" s="286">
        <v>1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106</v>
      </c>
      <c r="C28" s="283" t="s">
        <v>9</v>
      </c>
      <c r="D28" s="284" t="s">
        <v>137</v>
      </c>
      <c r="E28" s="284" t="s">
        <v>11</v>
      </c>
      <c r="F28" s="284"/>
      <c r="G28" s="285"/>
      <c r="H28" s="283" t="s">
        <v>3</v>
      </c>
      <c r="I28" s="284"/>
      <c r="J28" s="286">
        <v>2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107</v>
      </c>
      <c r="C29" s="283"/>
      <c r="D29" s="284" t="s">
        <v>151</v>
      </c>
      <c r="E29" s="284" t="s">
        <v>152</v>
      </c>
      <c r="F29" s="284"/>
      <c r="G29" s="285"/>
      <c r="H29" s="283" t="s">
        <v>3</v>
      </c>
      <c r="I29" s="284"/>
      <c r="J29" s="286">
        <v>3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101</v>
      </c>
      <c r="C30" s="283"/>
      <c r="D30" s="284" t="s">
        <v>151</v>
      </c>
      <c r="E30" s="284" t="s">
        <v>152</v>
      </c>
      <c r="F30" s="284"/>
      <c r="G30" s="285"/>
      <c r="H30" s="283" t="s">
        <v>3</v>
      </c>
      <c r="I30" s="284"/>
      <c r="J30" s="286">
        <v>4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102</v>
      </c>
      <c r="C31" s="283"/>
      <c r="D31" s="284" t="s">
        <v>151</v>
      </c>
      <c r="E31" s="284" t="s">
        <v>152</v>
      </c>
      <c r="F31" s="284"/>
      <c r="G31" s="285"/>
      <c r="H31" s="283" t="s">
        <v>3</v>
      </c>
      <c r="I31" s="284"/>
      <c r="J31" s="286">
        <v>5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103</v>
      </c>
      <c r="C32" s="283"/>
      <c r="D32" s="284" t="s">
        <v>151</v>
      </c>
      <c r="E32" s="284" t="s">
        <v>152</v>
      </c>
      <c r="F32" s="284"/>
      <c r="G32" s="285"/>
      <c r="H32" s="283" t="s">
        <v>3</v>
      </c>
      <c r="I32" s="284"/>
      <c r="J32" s="286">
        <v>6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104</v>
      </c>
      <c r="C33" s="283" t="s">
        <v>150</v>
      </c>
      <c r="D33" s="284" t="s">
        <v>137</v>
      </c>
      <c r="E33" s="284" t="s">
        <v>11</v>
      </c>
      <c r="F33" s="284"/>
      <c r="G33" s="285"/>
      <c r="H33" s="283" t="s">
        <v>3</v>
      </c>
      <c r="I33" s="284"/>
      <c r="J33" s="286">
        <v>7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105</v>
      </c>
      <c r="C34" s="283" t="s">
        <v>9</v>
      </c>
      <c r="D34" s="284" t="s">
        <v>137</v>
      </c>
      <c r="E34" s="284" t="s">
        <v>11</v>
      </c>
      <c r="F34" s="284"/>
      <c r="G34" s="285"/>
      <c r="H34" s="283" t="s">
        <v>3</v>
      </c>
      <c r="I34" s="284"/>
      <c r="J34" s="286">
        <v>8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106</v>
      </c>
      <c r="C35" s="283" t="s">
        <v>9</v>
      </c>
      <c r="D35" s="284" t="s">
        <v>137</v>
      </c>
      <c r="E35" s="284" t="s">
        <v>11</v>
      </c>
      <c r="F35" s="284"/>
      <c r="G35" s="285"/>
      <c r="H35" s="283" t="s">
        <v>3</v>
      </c>
      <c r="I35" s="284"/>
      <c r="J35" s="286">
        <v>9</v>
      </c>
      <c r="K35" s="283" t="s">
        <v>3</v>
      </c>
      <c r="L35" s="283"/>
      <c r="M35" s="283" t="s">
        <v>3</v>
      </c>
      <c r="N35" s="283"/>
      <c r="O35" s="285"/>
    </row>
    <row r="36" spans="1:15" s="194" customFormat="1" ht="15.6" customHeight="1" x14ac:dyDescent="0.15">
      <c r="A36" s="286">
        <v>10</v>
      </c>
      <c r="B36" s="282" t="s">
        <v>107</v>
      </c>
      <c r="C36" s="283"/>
      <c r="D36" s="284" t="s">
        <v>151</v>
      </c>
      <c r="E36" s="284" t="s">
        <v>152</v>
      </c>
      <c r="F36" s="284"/>
      <c r="G36" s="285"/>
      <c r="H36" s="283" t="s">
        <v>3</v>
      </c>
      <c r="I36" s="284"/>
      <c r="J36" s="286"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showGridLines="0" view="pageBreakPreview" topLeftCell="A4" zoomScaleNormal="85" zoomScaleSheetLayoutView="100" workbookViewId="0">
      <selection activeCell="E8" sqref="E8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146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147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291" t="s">
        <v>21</v>
      </c>
    </row>
    <row r="6" spans="1:18" s="194" customFormat="1" ht="15.6" customHeight="1" x14ac:dyDescent="0.15">
      <c r="A6" s="288">
        <v>42440</v>
      </c>
      <c r="B6" s="282" t="s">
        <v>135</v>
      </c>
      <c r="C6" s="283"/>
      <c r="D6" s="284" t="s">
        <v>137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138</v>
      </c>
      <c r="C7" s="283"/>
      <c r="D7" s="284" t="s">
        <v>137</v>
      </c>
      <c r="E7" s="284" t="s">
        <v>11</v>
      </c>
      <c r="F7" s="284"/>
      <c r="G7" s="285"/>
      <c r="H7" s="283" t="s">
        <v>3</v>
      </c>
      <c r="I7" s="284"/>
      <c r="J7" s="286">
        <f t="shared" ref="J7:J34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104</v>
      </c>
      <c r="C8" s="283"/>
      <c r="D8" s="284" t="s">
        <v>137</v>
      </c>
      <c r="E8" s="284" t="s">
        <v>11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105</v>
      </c>
      <c r="C9" s="283" t="s">
        <v>9</v>
      </c>
      <c r="D9" s="284" t="s">
        <v>137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106</v>
      </c>
      <c r="C10" s="283" t="s">
        <v>9</v>
      </c>
      <c r="D10" s="284" t="s">
        <v>137</v>
      </c>
      <c r="E10" s="284" t="s">
        <v>11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107</v>
      </c>
      <c r="C11" s="283" t="s">
        <v>9</v>
      </c>
      <c r="D11" s="284" t="s">
        <v>137</v>
      </c>
      <c r="E11" s="284" t="s">
        <v>11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101</v>
      </c>
      <c r="C12" s="283"/>
      <c r="D12" s="284" t="s">
        <v>137</v>
      </c>
      <c r="E12" s="284" t="s">
        <v>11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102</v>
      </c>
      <c r="C13" s="283"/>
      <c r="D13" s="284" t="s">
        <v>137</v>
      </c>
      <c r="E13" s="284" t="s">
        <v>11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103</v>
      </c>
      <c r="C14" s="283"/>
      <c r="D14" s="284" t="s">
        <v>137</v>
      </c>
      <c r="E14" s="284" t="s">
        <v>11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104</v>
      </c>
      <c r="C15" s="283"/>
      <c r="D15" s="284" t="s">
        <v>137</v>
      </c>
      <c r="E15" s="284" t="s">
        <v>11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105</v>
      </c>
      <c r="C16" s="283" t="s">
        <v>9</v>
      </c>
      <c r="D16" s="284" t="s">
        <v>137</v>
      </c>
      <c r="E16" s="284" t="s">
        <v>11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106</v>
      </c>
      <c r="C17" s="283" t="s">
        <v>9</v>
      </c>
      <c r="D17" s="284" t="s">
        <v>137</v>
      </c>
      <c r="E17" s="284" t="s">
        <v>11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107</v>
      </c>
      <c r="C18" s="283"/>
      <c r="D18" s="284" t="s">
        <v>137</v>
      </c>
      <c r="E18" s="284" t="s">
        <v>11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101</v>
      </c>
      <c r="C19" s="283"/>
      <c r="D19" s="284" t="s">
        <v>137</v>
      </c>
      <c r="E19" s="284" t="s">
        <v>11</v>
      </c>
      <c r="F19" s="284"/>
      <c r="G19" s="285"/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102</v>
      </c>
      <c r="C20" s="283"/>
      <c r="D20" s="284" t="s">
        <v>137</v>
      </c>
      <c r="E20" s="284" t="s">
        <v>11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103</v>
      </c>
      <c r="C21" s="283"/>
      <c r="D21" s="284" t="s">
        <v>137</v>
      </c>
      <c r="E21" s="284" t="s">
        <v>11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104</v>
      </c>
      <c r="C22" s="283"/>
      <c r="D22" s="284" t="s">
        <v>137</v>
      </c>
      <c r="E22" s="284" t="s">
        <v>11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f t="shared" si="0"/>
        <v>42457</v>
      </c>
      <c r="B23" s="282" t="s">
        <v>105</v>
      </c>
      <c r="C23" s="283" t="s">
        <v>9</v>
      </c>
      <c r="D23" s="284" t="s">
        <v>137</v>
      </c>
      <c r="E23" s="284" t="s">
        <v>11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f t="shared" si="0"/>
        <v>42458</v>
      </c>
      <c r="B24" s="282" t="s">
        <v>106</v>
      </c>
      <c r="C24" s="283" t="s">
        <v>9</v>
      </c>
      <c r="D24" s="284" t="s">
        <v>137</v>
      </c>
      <c r="E24" s="284" t="s">
        <v>11</v>
      </c>
      <c r="F24" s="284"/>
      <c r="G24" s="285"/>
      <c r="H24" s="283" t="s">
        <v>3</v>
      </c>
      <c r="I24" s="284"/>
      <c r="J24" s="286">
        <v>29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f t="shared" si="0"/>
        <v>42459</v>
      </c>
      <c r="B25" s="282" t="s">
        <v>107</v>
      </c>
      <c r="C25" s="283"/>
      <c r="D25" s="284" t="s">
        <v>137</v>
      </c>
      <c r="E25" s="284" t="s">
        <v>11</v>
      </c>
      <c r="F25" s="284"/>
      <c r="G25" s="285"/>
      <c r="H25" s="283" t="s">
        <v>3</v>
      </c>
      <c r="I25" s="284"/>
      <c r="J25" s="286">
        <v>30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31</v>
      </c>
      <c r="B26" s="282" t="s">
        <v>101</v>
      </c>
      <c r="C26" s="283"/>
      <c r="D26" s="284" t="s">
        <v>137</v>
      </c>
      <c r="E26" s="284" t="s">
        <v>11</v>
      </c>
      <c r="F26" s="284"/>
      <c r="G26" s="285"/>
      <c r="H26" s="283" t="s">
        <v>3</v>
      </c>
      <c r="I26" s="284"/>
      <c r="J26" s="286">
        <v>31</v>
      </c>
      <c r="K26" s="283" t="s">
        <v>3</v>
      </c>
      <c r="L26" s="283"/>
      <c r="M26" s="283" t="s">
        <v>3</v>
      </c>
      <c r="N26" s="283"/>
      <c r="O26" s="285"/>
    </row>
    <row r="27" spans="1:15" s="194" customFormat="1" ht="15.6" customHeight="1" x14ac:dyDescent="0.15">
      <c r="A27" s="286">
        <v>1</v>
      </c>
      <c r="B27" s="282" t="s">
        <v>102</v>
      </c>
      <c r="C27" s="283"/>
      <c r="D27" s="284" t="s">
        <v>137</v>
      </c>
      <c r="E27" s="284" t="s">
        <v>11</v>
      </c>
      <c r="F27" s="284"/>
      <c r="G27" s="285"/>
      <c r="H27" s="283" t="s">
        <v>3</v>
      </c>
      <c r="I27" s="284"/>
      <c r="J27" s="286">
        <v>2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103</v>
      </c>
      <c r="C28" s="283"/>
      <c r="D28" s="284" t="s">
        <v>137</v>
      </c>
      <c r="E28" s="284" t="s">
        <v>11</v>
      </c>
      <c r="F28" s="284"/>
      <c r="G28" s="285"/>
      <c r="H28" s="283" t="s">
        <v>3</v>
      </c>
      <c r="I28" s="284"/>
      <c r="J28" s="286">
        <f t="shared" si="1"/>
        <v>3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104</v>
      </c>
      <c r="C29" s="283"/>
      <c r="D29" s="284" t="s">
        <v>137</v>
      </c>
      <c r="E29" s="284" t="s">
        <v>11</v>
      </c>
      <c r="F29" s="284"/>
      <c r="G29" s="285"/>
      <c r="H29" s="283" t="s">
        <v>3</v>
      </c>
      <c r="I29" s="284"/>
      <c r="J29" s="286">
        <f t="shared" si="1"/>
        <v>4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105</v>
      </c>
      <c r="C30" s="283" t="s">
        <v>9</v>
      </c>
      <c r="D30" s="284" t="s">
        <v>137</v>
      </c>
      <c r="E30" s="284" t="s">
        <v>11</v>
      </c>
      <c r="F30" s="284"/>
      <c r="G30" s="285"/>
      <c r="H30" s="283" t="s">
        <v>3</v>
      </c>
      <c r="I30" s="284"/>
      <c r="J30" s="286">
        <f t="shared" si="1"/>
        <v>5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106</v>
      </c>
      <c r="C31" s="283" t="s">
        <v>9</v>
      </c>
      <c r="D31" s="284" t="s">
        <v>137</v>
      </c>
      <c r="E31" s="284" t="s">
        <v>11</v>
      </c>
      <c r="F31" s="284"/>
      <c r="G31" s="285"/>
      <c r="H31" s="283" t="s">
        <v>3</v>
      </c>
      <c r="I31" s="284"/>
      <c r="J31" s="286">
        <f t="shared" si="1"/>
        <v>6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107</v>
      </c>
      <c r="C32" s="283"/>
      <c r="D32" s="284" t="s">
        <v>137</v>
      </c>
      <c r="E32" s="284" t="s">
        <v>11</v>
      </c>
      <c r="F32" s="284"/>
      <c r="G32" s="285"/>
      <c r="H32" s="283" t="s">
        <v>3</v>
      </c>
      <c r="I32" s="284"/>
      <c r="J32" s="286">
        <f t="shared" si="1"/>
        <v>7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101</v>
      </c>
      <c r="C33" s="283"/>
      <c r="D33" s="284" t="s">
        <v>137</v>
      </c>
      <c r="E33" s="284" t="s">
        <v>11</v>
      </c>
      <c r="F33" s="284"/>
      <c r="G33" s="285"/>
      <c r="H33" s="283" t="s">
        <v>3</v>
      </c>
      <c r="I33" s="284"/>
      <c r="J33" s="286">
        <f t="shared" si="1"/>
        <v>8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102</v>
      </c>
      <c r="C34" s="283"/>
      <c r="D34" s="284" t="s">
        <v>137</v>
      </c>
      <c r="E34" s="284" t="s">
        <v>11</v>
      </c>
      <c r="F34" s="284"/>
      <c r="G34" s="285"/>
      <c r="H34" s="283" t="s">
        <v>3</v>
      </c>
      <c r="I34" s="284"/>
      <c r="J34" s="286">
        <f t="shared" si="1"/>
        <v>9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103</v>
      </c>
      <c r="C35" s="283"/>
      <c r="D35" s="284"/>
      <c r="E35" s="284"/>
      <c r="F35" s="284"/>
      <c r="G35" s="285"/>
      <c r="H35" s="283"/>
      <c r="I35" s="284"/>
      <c r="J35" s="286"/>
      <c r="K35" s="283"/>
      <c r="L35" s="283"/>
      <c r="M35" s="283"/>
      <c r="N35" s="283"/>
      <c r="O35" s="285"/>
    </row>
    <row r="36" spans="1:15" s="194" customFormat="1" ht="15.6" customHeight="1" x14ac:dyDescent="0.15">
      <c r="A36" s="286">
        <v>10</v>
      </c>
      <c r="B36" s="282" t="s">
        <v>104</v>
      </c>
      <c r="C36" s="283"/>
      <c r="D36" s="284" t="s">
        <v>137</v>
      </c>
      <c r="E36" s="284" t="s">
        <v>11</v>
      </c>
      <c r="F36" s="284"/>
      <c r="G36" s="285"/>
      <c r="H36" s="283" t="s">
        <v>3</v>
      </c>
      <c r="I36" s="284"/>
      <c r="J36" s="286">
        <f>J34+1</f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showGridLines="0" view="pageBreakPreview" zoomScale="90" zoomScaleNormal="85" zoomScaleSheetLayoutView="90" workbookViewId="0">
      <selection activeCell="G17" sqref="G17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145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2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16</v>
      </c>
      <c r="E5" s="272" t="s">
        <v>15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290" t="s">
        <v>21</v>
      </c>
    </row>
    <row r="6" spans="1:18" s="194" customFormat="1" ht="15.6" customHeight="1" x14ac:dyDescent="0.15">
      <c r="A6" s="288">
        <v>42440</v>
      </c>
      <c r="B6" s="282" t="s">
        <v>142</v>
      </c>
      <c r="C6" s="283"/>
      <c r="D6" s="284" t="s">
        <v>137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4" si="0">A6+1</f>
        <v>42441</v>
      </c>
      <c r="B7" s="282" t="s">
        <v>108</v>
      </c>
      <c r="C7" s="283" t="s">
        <v>9</v>
      </c>
      <c r="D7" s="284" t="s">
        <v>137</v>
      </c>
      <c r="E7" s="284" t="s">
        <v>11</v>
      </c>
      <c r="F7" s="284"/>
      <c r="G7" s="285"/>
      <c r="H7" s="283" t="s">
        <v>3</v>
      </c>
      <c r="I7" s="284"/>
      <c r="J7" s="286">
        <f t="shared" ref="J7:J34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106</v>
      </c>
      <c r="C8" s="283" t="s">
        <v>9</v>
      </c>
      <c r="D8" s="284" t="s">
        <v>137</v>
      </c>
      <c r="E8" s="284" t="s">
        <v>11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107</v>
      </c>
      <c r="C9" s="283"/>
      <c r="D9" s="284" t="s">
        <v>137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101</v>
      </c>
      <c r="C10" s="283"/>
      <c r="D10" s="284" t="s">
        <v>137</v>
      </c>
      <c r="E10" s="284" t="s">
        <v>11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102</v>
      </c>
      <c r="C11" s="283"/>
      <c r="D11" s="284" t="s">
        <v>137</v>
      </c>
      <c r="E11" s="284" t="s">
        <v>11</v>
      </c>
      <c r="F11" s="284"/>
      <c r="G11" s="285"/>
      <c r="H11" s="287" t="s">
        <v>7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103</v>
      </c>
      <c r="C12" s="283"/>
      <c r="D12" s="284" t="s">
        <v>137</v>
      </c>
      <c r="E12" s="284" t="s">
        <v>11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104</v>
      </c>
      <c r="C13" s="283"/>
      <c r="D13" s="284" t="s">
        <v>137</v>
      </c>
      <c r="E13" s="284" t="s">
        <v>11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105</v>
      </c>
      <c r="C14" s="283" t="s">
        <v>9</v>
      </c>
      <c r="D14" s="284" t="s">
        <v>137</v>
      </c>
      <c r="E14" s="284" t="s">
        <v>11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106</v>
      </c>
      <c r="C15" s="283" t="s">
        <v>9</v>
      </c>
      <c r="D15" s="284" t="s">
        <v>137</v>
      </c>
      <c r="E15" s="284" t="s">
        <v>11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107</v>
      </c>
      <c r="C16" s="283" t="s">
        <v>144</v>
      </c>
      <c r="D16" s="284" t="s">
        <v>137</v>
      </c>
      <c r="E16" s="284" t="s">
        <v>11</v>
      </c>
      <c r="F16" s="284"/>
      <c r="G16" s="285" t="s">
        <v>143</v>
      </c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101</v>
      </c>
      <c r="C17" s="283" t="s">
        <v>144</v>
      </c>
      <c r="D17" s="284" t="s">
        <v>137</v>
      </c>
      <c r="E17" s="284" t="s">
        <v>11</v>
      </c>
      <c r="F17" s="284"/>
      <c r="G17" s="285" t="s">
        <v>143</v>
      </c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102</v>
      </c>
      <c r="C18" s="283" t="s">
        <v>144</v>
      </c>
      <c r="D18" s="284" t="s">
        <v>137</v>
      </c>
      <c r="E18" s="284" t="s">
        <v>11</v>
      </c>
      <c r="F18" s="284"/>
      <c r="G18" s="285" t="s">
        <v>143</v>
      </c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103</v>
      </c>
      <c r="C19" s="283" t="s">
        <v>144</v>
      </c>
      <c r="D19" s="284" t="s">
        <v>137</v>
      </c>
      <c r="E19" s="284" t="s">
        <v>11</v>
      </c>
      <c r="F19" s="284"/>
      <c r="G19" s="285" t="s">
        <v>143</v>
      </c>
      <c r="H19" s="287" t="s">
        <v>7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104</v>
      </c>
      <c r="C20" s="283" t="s">
        <v>144</v>
      </c>
      <c r="D20" s="284" t="s">
        <v>137</v>
      </c>
      <c r="E20" s="284" t="s">
        <v>11</v>
      </c>
      <c r="F20" s="284"/>
      <c r="G20" s="285" t="s">
        <v>143</v>
      </c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105</v>
      </c>
      <c r="C21" s="283" t="s">
        <v>9</v>
      </c>
      <c r="D21" s="284" t="s">
        <v>137</v>
      </c>
      <c r="E21" s="284" t="s">
        <v>11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106</v>
      </c>
      <c r="C22" s="283" t="s">
        <v>9</v>
      </c>
      <c r="D22" s="284" t="s">
        <v>137</v>
      </c>
      <c r="E22" s="284" t="s">
        <v>11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f t="shared" si="0"/>
        <v>42457</v>
      </c>
      <c r="B23" s="282" t="s">
        <v>107</v>
      </c>
      <c r="C23" s="283"/>
      <c r="D23" s="284" t="s">
        <v>137</v>
      </c>
      <c r="E23" s="284" t="s">
        <v>11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f t="shared" si="0"/>
        <v>42458</v>
      </c>
      <c r="B24" s="282" t="s">
        <v>101</v>
      </c>
      <c r="C24" s="283"/>
      <c r="D24" s="284" t="s">
        <v>137</v>
      </c>
      <c r="E24" s="284" t="s">
        <v>11</v>
      </c>
      <c r="F24" s="284"/>
      <c r="G24" s="285"/>
      <c r="H24" s="283" t="s">
        <v>3</v>
      </c>
      <c r="I24" s="284"/>
      <c r="J24" s="286">
        <v>29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f t="shared" si="0"/>
        <v>42459</v>
      </c>
      <c r="B25" s="282" t="s">
        <v>102</v>
      </c>
      <c r="C25" s="283"/>
      <c r="D25" s="284" t="s">
        <v>137</v>
      </c>
      <c r="E25" s="284" t="s">
        <v>11</v>
      </c>
      <c r="F25" s="284"/>
      <c r="G25" s="285"/>
      <c r="H25" s="283" t="s">
        <v>3</v>
      </c>
      <c r="I25" s="284"/>
      <c r="J25" s="286">
        <v>30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31</v>
      </c>
      <c r="B26" s="282" t="s">
        <v>103</v>
      </c>
      <c r="C26" s="283"/>
      <c r="D26" s="284"/>
      <c r="E26" s="284"/>
      <c r="F26" s="284"/>
      <c r="G26" s="285"/>
      <c r="H26" s="283"/>
      <c r="I26" s="284"/>
      <c r="J26" s="286"/>
      <c r="K26" s="283"/>
      <c r="L26" s="283"/>
      <c r="M26" s="283"/>
      <c r="N26" s="283"/>
      <c r="O26" s="285"/>
    </row>
    <row r="27" spans="1:15" s="194" customFormat="1" ht="15.6" customHeight="1" x14ac:dyDescent="0.15">
      <c r="A27" s="286">
        <v>1</v>
      </c>
      <c r="B27" s="282" t="s">
        <v>104</v>
      </c>
      <c r="C27" s="283"/>
      <c r="D27" s="284" t="s">
        <v>137</v>
      </c>
      <c r="E27" s="284" t="s">
        <v>11</v>
      </c>
      <c r="F27" s="284"/>
      <c r="G27" s="285"/>
      <c r="H27" s="283" t="s">
        <v>3</v>
      </c>
      <c r="I27" s="284"/>
      <c r="J27" s="286">
        <v>2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v>2</v>
      </c>
      <c r="B28" s="282" t="s">
        <v>105</v>
      </c>
      <c r="C28" s="283" t="s">
        <v>9</v>
      </c>
      <c r="D28" s="284" t="s">
        <v>137</v>
      </c>
      <c r="E28" s="284" t="s">
        <v>11</v>
      </c>
      <c r="F28" s="284"/>
      <c r="G28" s="285"/>
      <c r="H28" s="283" t="s">
        <v>3</v>
      </c>
      <c r="I28" s="284"/>
      <c r="J28" s="286">
        <f t="shared" si="1"/>
        <v>3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.6" customHeight="1" x14ac:dyDescent="0.15">
      <c r="A29" s="286">
        <f t="shared" si="0"/>
        <v>3</v>
      </c>
      <c r="B29" s="282" t="s">
        <v>106</v>
      </c>
      <c r="C29" s="283" t="s">
        <v>9</v>
      </c>
      <c r="D29" s="284" t="s">
        <v>137</v>
      </c>
      <c r="E29" s="284" t="s">
        <v>11</v>
      </c>
      <c r="F29" s="284"/>
      <c r="G29" s="285"/>
      <c r="H29" s="283" t="s">
        <v>3</v>
      </c>
      <c r="I29" s="284"/>
      <c r="J29" s="286">
        <f t="shared" si="1"/>
        <v>4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" customHeight="1" x14ac:dyDescent="0.15">
      <c r="A30" s="286">
        <f t="shared" si="0"/>
        <v>4</v>
      </c>
      <c r="B30" s="282" t="s">
        <v>107</v>
      </c>
      <c r="C30" s="283"/>
      <c r="D30" s="284" t="s">
        <v>137</v>
      </c>
      <c r="E30" s="284" t="s">
        <v>11</v>
      </c>
      <c r="F30" s="284"/>
      <c r="G30" s="285"/>
      <c r="H30" s="283" t="s">
        <v>3</v>
      </c>
      <c r="I30" s="284"/>
      <c r="J30" s="286">
        <f t="shared" si="1"/>
        <v>5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5</v>
      </c>
      <c r="B31" s="282" t="s">
        <v>101</v>
      </c>
      <c r="C31" s="283"/>
      <c r="D31" s="284" t="s">
        <v>137</v>
      </c>
      <c r="E31" s="284" t="s">
        <v>11</v>
      </c>
      <c r="F31" s="284"/>
      <c r="G31" s="285"/>
      <c r="H31" s="283" t="s">
        <v>3</v>
      </c>
      <c r="I31" s="284"/>
      <c r="J31" s="286">
        <f t="shared" si="1"/>
        <v>6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6</v>
      </c>
      <c r="B32" s="282" t="s">
        <v>102</v>
      </c>
      <c r="C32" s="283"/>
      <c r="D32" s="284" t="s">
        <v>137</v>
      </c>
      <c r="E32" s="284" t="s">
        <v>11</v>
      </c>
      <c r="F32" s="284"/>
      <c r="G32" s="285"/>
      <c r="H32" s="283" t="s">
        <v>3</v>
      </c>
      <c r="I32" s="284"/>
      <c r="J32" s="286">
        <f t="shared" si="1"/>
        <v>7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7</v>
      </c>
      <c r="B33" s="282" t="s">
        <v>103</v>
      </c>
      <c r="C33" s="283"/>
      <c r="D33" s="284" t="s">
        <v>137</v>
      </c>
      <c r="E33" s="284" t="s">
        <v>11</v>
      </c>
      <c r="F33" s="284"/>
      <c r="G33" s="285"/>
      <c r="H33" s="283" t="s">
        <v>3</v>
      </c>
      <c r="I33" s="284"/>
      <c r="J33" s="286">
        <f t="shared" si="1"/>
        <v>8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f t="shared" si="0"/>
        <v>8</v>
      </c>
      <c r="B34" s="282" t="s">
        <v>104</v>
      </c>
      <c r="C34" s="283"/>
      <c r="D34" s="284" t="s">
        <v>137</v>
      </c>
      <c r="E34" s="284" t="s">
        <v>11</v>
      </c>
      <c r="F34" s="284"/>
      <c r="G34" s="285"/>
      <c r="H34" s="283" t="s">
        <v>3</v>
      </c>
      <c r="I34" s="284"/>
      <c r="J34" s="286">
        <f t="shared" si="1"/>
        <v>9</v>
      </c>
      <c r="K34" s="283" t="s">
        <v>3</v>
      </c>
      <c r="L34" s="283"/>
      <c r="M34" s="283" t="s">
        <v>3</v>
      </c>
      <c r="N34" s="283"/>
      <c r="O34" s="285"/>
    </row>
    <row r="35" spans="1:15" s="194" customFormat="1" ht="15.6" customHeight="1" x14ac:dyDescent="0.15">
      <c r="A35" s="286">
        <v>9</v>
      </c>
      <c r="B35" s="282" t="s">
        <v>105</v>
      </c>
      <c r="C35" s="283" t="s">
        <v>9</v>
      </c>
      <c r="D35" s="284"/>
      <c r="E35" s="284"/>
      <c r="F35" s="284"/>
      <c r="G35" s="285"/>
      <c r="H35" s="283"/>
      <c r="I35" s="284"/>
      <c r="J35" s="286"/>
      <c r="K35" s="283"/>
      <c r="L35" s="283"/>
      <c r="M35" s="283"/>
      <c r="N35" s="283"/>
      <c r="O35" s="285"/>
    </row>
    <row r="36" spans="1:15" s="194" customFormat="1" ht="15.6" customHeight="1" x14ac:dyDescent="0.15">
      <c r="A36" s="286">
        <v>10</v>
      </c>
      <c r="B36" s="282" t="s">
        <v>106</v>
      </c>
      <c r="C36" s="283" t="s">
        <v>9</v>
      </c>
      <c r="D36" s="284" t="s">
        <v>137</v>
      </c>
      <c r="E36" s="284" t="s">
        <v>11</v>
      </c>
      <c r="F36" s="284"/>
      <c r="G36" s="285"/>
      <c r="H36" s="283" t="s">
        <v>3</v>
      </c>
      <c r="I36" s="284"/>
      <c r="J36" s="286">
        <f>J34+1</f>
        <v>10</v>
      </c>
      <c r="K36" s="283" t="s">
        <v>3</v>
      </c>
      <c r="L36" s="283"/>
      <c r="M36" s="283" t="s">
        <v>3</v>
      </c>
      <c r="N36" s="283"/>
      <c r="O36" s="285"/>
    </row>
    <row r="37" spans="1:15" s="194" customFormat="1" ht="26.25" customHeight="1" thickBot="1" x14ac:dyDescent="0.2">
      <c r="A37" s="278"/>
      <c r="B37" s="279"/>
      <c r="C37" s="280"/>
      <c r="D37" s="279"/>
      <c r="E37" s="279"/>
      <c r="F37" s="279"/>
      <c r="G37" s="281"/>
      <c r="H37" s="279"/>
      <c r="I37" s="279"/>
      <c r="J37" s="279"/>
      <c r="K37" s="280"/>
      <c r="L37" s="280"/>
      <c r="M37" s="280"/>
      <c r="N37" s="280"/>
      <c r="O37" s="279"/>
    </row>
    <row r="38" spans="1:15" s="194" customFormat="1" ht="22.5" customHeight="1" thickTop="1" x14ac:dyDescent="0.15">
      <c r="A38" s="28"/>
      <c r="B38" s="6"/>
      <c r="C38" s="7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269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269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270"/>
      <c r="D41" s="1"/>
      <c r="G41" s="20"/>
    </row>
    <row r="42" spans="1:15" s="194" customFormat="1" ht="15" customHeight="1" x14ac:dyDescent="0.15">
      <c r="A42" s="124" t="s">
        <v>43</v>
      </c>
      <c r="C42" s="270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269"/>
      <c r="D45" s="123"/>
      <c r="E45" s="123"/>
      <c r="F45" s="123"/>
      <c r="G45" s="123"/>
    </row>
    <row r="50" spans="1:15" s="4" customFormat="1" ht="15" customHeight="1" x14ac:dyDescent="0.2">
      <c r="A50" s="56"/>
      <c r="C50" s="269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270"/>
      <c r="D51" s="1"/>
      <c r="G51" s="20"/>
    </row>
    <row r="52" spans="1:15" s="194" customFormat="1" ht="15" customHeight="1" x14ac:dyDescent="0.15">
      <c r="A52" s="18"/>
      <c r="C52" s="270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"/>
  <sheetViews>
    <sheetView showGridLines="0" view="pageBreakPreview" zoomScale="90" zoomScaleNormal="85" zoomScaleSheetLayoutView="90" workbookViewId="0">
      <selection activeCell="E17" sqref="E17"/>
    </sheetView>
  </sheetViews>
  <sheetFormatPr defaultRowHeight="13.5" x14ac:dyDescent="0.15"/>
  <cols>
    <col min="1" max="1" width="3.625" customWidth="1"/>
    <col min="2" max="2" width="4.875" customWidth="1"/>
    <col min="3" max="3" width="10.5" style="267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136</v>
      </c>
      <c r="C3" s="268"/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2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74"/>
      <c r="B5" s="374"/>
      <c r="C5" s="376"/>
      <c r="D5" s="271" t="s">
        <v>24</v>
      </c>
      <c r="E5" s="272" t="s">
        <v>23</v>
      </c>
      <c r="F5" s="273" t="s">
        <v>22</v>
      </c>
      <c r="G5" s="381"/>
      <c r="H5" s="274" t="s">
        <v>6</v>
      </c>
      <c r="I5" s="272" t="s">
        <v>1</v>
      </c>
      <c r="J5" s="374"/>
      <c r="K5" s="271" t="s">
        <v>5</v>
      </c>
      <c r="L5" s="275" t="s">
        <v>1</v>
      </c>
      <c r="M5" s="276" t="s">
        <v>4</v>
      </c>
      <c r="N5" s="272" t="s">
        <v>1</v>
      </c>
      <c r="O5" s="277" t="s">
        <v>21</v>
      </c>
    </row>
    <row r="6" spans="1:18" s="194" customFormat="1" ht="15.6" customHeight="1" x14ac:dyDescent="0.15">
      <c r="A6" s="288">
        <v>42440</v>
      </c>
      <c r="B6" s="282" t="s">
        <v>135</v>
      </c>
      <c r="C6" s="283"/>
      <c r="D6" s="284" t="s">
        <v>137</v>
      </c>
      <c r="E6" s="284" t="s">
        <v>11</v>
      </c>
      <c r="F6" s="284"/>
      <c r="G6" s="285"/>
      <c r="H6" s="283" t="s">
        <v>3</v>
      </c>
      <c r="I6" s="284"/>
      <c r="J6" s="286">
        <f>A6</f>
        <v>42440</v>
      </c>
      <c r="K6" s="283" t="s">
        <v>3</v>
      </c>
      <c r="L6" s="289"/>
      <c r="M6" s="283" t="s">
        <v>3</v>
      </c>
      <c r="N6" s="289"/>
      <c r="O6" s="285"/>
    </row>
    <row r="7" spans="1:18" s="194" customFormat="1" ht="15.6" customHeight="1" x14ac:dyDescent="0.15">
      <c r="A7" s="286">
        <f t="shared" ref="A7:A33" si="0">A6+1</f>
        <v>42441</v>
      </c>
      <c r="B7" s="282" t="s">
        <v>138</v>
      </c>
      <c r="C7" s="283"/>
      <c r="D7" s="284" t="s">
        <v>137</v>
      </c>
      <c r="E7" s="284" t="s">
        <v>11</v>
      </c>
      <c r="F7" s="284"/>
      <c r="G7" s="285"/>
      <c r="H7" s="283" t="s">
        <v>3</v>
      </c>
      <c r="I7" s="284"/>
      <c r="J7" s="286">
        <f t="shared" ref="J7:J29" si="1">J6+1</f>
        <v>42441</v>
      </c>
      <c r="K7" s="283" t="s">
        <v>3</v>
      </c>
      <c r="L7" s="283"/>
      <c r="M7" s="283" t="s">
        <v>3</v>
      </c>
      <c r="N7" s="283"/>
      <c r="O7" s="285"/>
    </row>
    <row r="8" spans="1:18" s="194" customFormat="1" ht="15.6" customHeight="1" x14ac:dyDescent="0.15">
      <c r="A8" s="286">
        <f t="shared" si="0"/>
        <v>42442</v>
      </c>
      <c r="B8" s="282" t="s">
        <v>104</v>
      </c>
      <c r="C8" s="283"/>
      <c r="D8" s="284" t="s">
        <v>137</v>
      </c>
      <c r="E8" s="284" t="s">
        <v>11</v>
      </c>
      <c r="F8" s="284"/>
      <c r="G8" s="285"/>
      <c r="H8" s="283" t="s">
        <v>3</v>
      </c>
      <c r="I8" s="284"/>
      <c r="J8" s="286">
        <f t="shared" si="1"/>
        <v>42442</v>
      </c>
      <c r="K8" s="283" t="s">
        <v>3</v>
      </c>
      <c r="L8" s="283"/>
      <c r="M8" s="283" t="s">
        <v>3</v>
      </c>
      <c r="N8" s="283"/>
      <c r="O8" s="285"/>
    </row>
    <row r="9" spans="1:18" s="194" customFormat="1" ht="15.6" customHeight="1" x14ac:dyDescent="0.15">
      <c r="A9" s="286">
        <f t="shared" si="0"/>
        <v>42443</v>
      </c>
      <c r="B9" s="282" t="s">
        <v>105</v>
      </c>
      <c r="C9" s="283" t="s">
        <v>139</v>
      </c>
      <c r="D9" s="284" t="s">
        <v>137</v>
      </c>
      <c r="E9" s="284" t="s">
        <v>11</v>
      </c>
      <c r="F9" s="284"/>
      <c r="G9" s="285"/>
      <c r="H9" s="283" t="s">
        <v>3</v>
      </c>
      <c r="I9" s="284"/>
      <c r="J9" s="286">
        <f t="shared" si="1"/>
        <v>42443</v>
      </c>
      <c r="K9" s="283" t="s">
        <v>3</v>
      </c>
      <c r="L9" s="283"/>
      <c r="M9" s="283" t="s">
        <v>3</v>
      </c>
      <c r="N9" s="283"/>
      <c r="O9" s="285"/>
    </row>
    <row r="10" spans="1:18" s="194" customFormat="1" ht="15.6" customHeight="1" x14ac:dyDescent="0.15">
      <c r="A10" s="286">
        <f t="shared" si="0"/>
        <v>42444</v>
      </c>
      <c r="B10" s="282" t="s">
        <v>106</v>
      </c>
      <c r="C10" s="283" t="s">
        <v>139</v>
      </c>
      <c r="D10" s="284" t="s">
        <v>137</v>
      </c>
      <c r="E10" s="284" t="s">
        <v>11</v>
      </c>
      <c r="F10" s="284"/>
      <c r="G10" s="285"/>
      <c r="H10" s="283" t="s">
        <v>3</v>
      </c>
      <c r="I10" s="284"/>
      <c r="J10" s="286">
        <f t="shared" si="1"/>
        <v>42444</v>
      </c>
      <c r="K10" s="283" t="s">
        <v>3</v>
      </c>
      <c r="L10" s="283"/>
      <c r="M10" s="283" t="s">
        <v>3</v>
      </c>
      <c r="N10" s="283"/>
      <c r="O10" s="285"/>
    </row>
    <row r="11" spans="1:18" s="194" customFormat="1" ht="15.6" customHeight="1" x14ac:dyDescent="0.15">
      <c r="A11" s="286">
        <f t="shared" si="0"/>
        <v>42445</v>
      </c>
      <c r="B11" s="282" t="s">
        <v>107</v>
      </c>
      <c r="C11" s="283"/>
      <c r="D11" s="284" t="s">
        <v>137</v>
      </c>
      <c r="E11" s="284" t="s">
        <v>11</v>
      </c>
      <c r="F11" s="284"/>
      <c r="G11" s="285"/>
      <c r="H11" s="287" t="s">
        <v>12</v>
      </c>
      <c r="I11" s="284"/>
      <c r="J11" s="286">
        <f t="shared" si="1"/>
        <v>42445</v>
      </c>
      <c r="K11" s="283" t="s">
        <v>3</v>
      </c>
      <c r="L11" s="283"/>
      <c r="M11" s="283" t="s">
        <v>3</v>
      </c>
      <c r="N11" s="283"/>
      <c r="O11" s="285"/>
    </row>
    <row r="12" spans="1:18" s="194" customFormat="1" ht="15.6" customHeight="1" x14ac:dyDescent="0.15">
      <c r="A12" s="286">
        <f t="shared" si="0"/>
        <v>42446</v>
      </c>
      <c r="B12" s="282" t="s">
        <v>101</v>
      </c>
      <c r="C12" s="283"/>
      <c r="D12" s="284" t="s">
        <v>137</v>
      </c>
      <c r="E12" s="284" t="s">
        <v>11</v>
      </c>
      <c r="F12" s="284"/>
      <c r="G12" s="285"/>
      <c r="H12" s="283" t="s">
        <v>3</v>
      </c>
      <c r="I12" s="284"/>
      <c r="J12" s="286">
        <f t="shared" si="1"/>
        <v>42446</v>
      </c>
      <c r="K12" s="283" t="s">
        <v>3</v>
      </c>
      <c r="L12" s="283"/>
      <c r="M12" s="283" t="s">
        <v>3</v>
      </c>
      <c r="N12" s="283"/>
      <c r="O12" s="285"/>
    </row>
    <row r="13" spans="1:18" s="194" customFormat="1" ht="15.6" customHeight="1" x14ac:dyDescent="0.15">
      <c r="A13" s="286">
        <f t="shared" si="0"/>
        <v>42447</v>
      </c>
      <c r="B13" s="282" t="s">
        <v>102</v>
      </c>
      <c r="C13" s="283"/>
      <c r="D13" s="284" t="s">
        <v>137</v>
      </c>
      <c r="E13" s="284" t="s">
        <v>11</v>
      </c>
      <c r="F13" s="284"/>
      <c r="G13" s="285"/>
      <c r="H13" s="283" t="s">
        <v>3</v>
      </c>
      <c r="I13" s="284"/>
      <c r="J13" s="286">
        <f t="shared" si="1"/>
        <v>42447</v>
      </c>
      <c r="K13" s="283" t="s">
        <v>3</v>
      </c>
      <c r="L13" s="283"/>
      <c r="M13" s="283" t="s">
        <v>3</v>
      </c>
      <c r="N13" s="283"/>
      <c r="O13" s="285"/>
    </row>
    <row r="14" spans="1:18" s="194" customFormat="1" ht="15.6" customHeight="1" x14ac:dyDescent="0.15">
      <c r="A14" s="286">
        <f t="shared" si="0"/>
        <v>42448</v>
      </c>
      <c r="B14" s="282" t="s">
        <v>103</v>
      </c>
      <c r="C14" s="283"/>
      <c r="D14" s="284" t="s">
        <v>137</v>
      </c>
      <c r="E14" s="284" t="s">
        <v>11</v>
      </c>
      <c r="F14" s="284"/>
      <c r="G14" s="285"/>
      <c r="H14" s="283" t="s">
        <v>3</v>
      </c>
      <c r="I14" s="284"/>
      <c r="J14" s="286">
        <f t="shared" si="1"/>
        <v>42448</v>
      </c>
      <c r="K14" s="283" t="s">
        <v>3</v>
      </c>
      <c r="L14" s="283"/>
      <c r="M14" s="283" t="s">
        <v>3</v>
      </c>
      <c r="N14" s="283"/>
      <c r="O14" s="285"/>
    </row>
    <row r="15" spans="1:18" s="194" customFormat="1" ht="15.6" customHeight="1" x14ac:dyDescent="0.15">
      <c r="A15" s="286">
        <f t="shared" si="0"/>
        <v>42449</v>
      </c>
      <c r="B15" s="282" t="s">
        <v>104</v>
      </c>
      <c r="C15" s="283"/>
      <c r="D15" s="284" t="s">
        <v>137</v>
      </c>
      <c r="E15" s="284" t="s">
        <v>11</v>
      </c>
      <c r="F15" s="284"/>
      <c r="G15" s="285"/>
      <c r="H15" s="283" t="s">
        <v>3</v>
      </c>
      <c r="I15" s="284"/>
      <c r="J15" s="286">
        <f t="shared" si="1"/>
        <v>42449</v>
      </c>
      <c r="K15" s="283" t="s">
        <v>3</v>
      </c>
      <c r="L15" s="283"/>
      <c r="M15" s="283" t="s">
        <v>3</v>
      </c>
      <c r="N15" s="283"/>
      <c r="O15" s="285"/>
    </row>
    <row r="16" spans="1:18" s="194" customFormat="1" ht="15.6" customHeight="1" x14ac:dyDescent="0.15">
      <c r="A16" s="286">
        <f t="shared" si="0"/>
        <v>42450</v>
      </c>
      <c r="B16" s="282" t="s">
        <v>105</v>
      </c>
      <c r="C16" s="283" t="s">
        <v>141</v>
      </c>
      <c r="D16" s="284" t="s">
        <v>137</v>
      </c>
      <c r="E16" s="284" t="s">
        <v>11</v>
      </c>
      <c r="F16" s="284"/>
      <c r="G16" s="285"/>
      <c r="H16" s="283" t="s">
        <v>3</v>
      </c>
      <c r="I16" s="284"/>
      <c r="J16" s="286">
        <f t="shared" si="1"/>
        <v>42450</v>
      </c>
      <c r="K16" s="283" t="s">
        <v>3</v>
      </c>
      <c r="L16" s="283"/>
      <c r="M16" s="283" t="s">
        <v>3</v>
      </c>
      <c r="N16" s="283"/>
      <c r="O16" s="285"/>
    </row>
    <row r="17" spans="1:15" s="194" customFormat="1" ht="15.6" customHeight="1" x14ac:dyDescent="0.15">
      <c r="A17" s="286">
        <f t="shared" si="0"/>
        <v>42451</v>
      </c>
      <c r="B17" s="282" t="s">
        <v>106</v>
      </c>
      <c r="C17" s="283" t="s">
        <v>139</v>
      </c>
      <c r="D17" s="284" t="s">
        <v>137</v>
      </c>
      <c r="E17" s="284" t="s">
        <v>11</v>
      </c>
      <c r="F17" s="284"/>
      <c r="G17" s="285"/>
      <c r="H17" s="283" t="s">
        <v>3</v>
      </c>
      <c r="I17" s="284"/>
      <c r="J17" s="286">
        <f t="shared" si="1"/>
        <v>42451</v>
      </c>
      <c r="K17" s="283" t="s">
        <v>3</v>
      </c>
      <c r="L17" s="283"/>
      <c r="M17" s="283" t="s">
        <v>3</v>
      </c>
      <c r="N17" s="283"/>
      <c r="O17" s="285"/>
    </row>
    <row r="18" spans="1:15" s="194" customFormat="1" ht="15.6" customHeight="1" x14ac:dyDescent="0.15">
      <c r="A18" s="286">
        <f t="shared" si="0"/>
        <v>42452</v>
      </c>
      <c r="B18" s="282" t="s">
        <v>107</v>
      </c>
      <c r="C18" s="283"/>
      <c r="D18" s="284" t="s">
        <v>137</v>
      </c>
      <c r="E18" s="284" t="s">
        <v>11</v>
      </c>
      <c r="F18" s="284"/>
      <c r="G18" s="285"/>
      <c r="H18" s="283" t="s">
        <v>3</v>
      </c>
      <c r="I18" s="284"/>
      <c r="J18" s="286">
        <f t="shared" si="1"/>
        <v>42452</v>
      </c>
      <c r="K18" s="283" t="s">
        <v>3</v>
      </c>
      <c r="L18" s="283"/>
      <c r="M18" s="283" t="s">
        <v>3</v>
      </c>
      <c r="N18" s="283"/>
      <c r="O18" s="285"/>
    </row>
    <row r="19" spans="1:15" s="194" customFormat="1" ht="15.6" customHeight="1" x14ac:dyDescent="0.15">
      <c r="A19" s="286">
        <f t="shared" si="0"/>
        <v>42453</v>
      </c>
      <c r="B19" s="282" t="s">
        <v>101</v>
      </c>
      <c r="C19" s="283"/>
      <c r="D19" s="284" t="s">
        <v>137</v>
      </c>
      <c r="E19" s="284" t="s">
        <v>11</v>
      </c>
      <c r="F19" s="284"/>
      <c r="G19" s="285"/>
      <c r="H19" s="287" t="s">
        <v>12</v>
      </c>
      <c r="I19" s="284"/>
      <c r="J19" s="286">
        <f t="shared" si="1"/>
        <v>42453</v>
      </c>
      <c r="K19" s="283" t="s">
        <v>3</v>
      </c>
      <c r="L19" s="283"/>
      <c r="M19" s="283" t="s">
        <v>3</v>
      </c>
      <c r="N19" s="283"/>
      <c r="O19" s="285"/>
    </row>
    <row r="20" spans="1:15" s="194" customFormat="1" ht="15.6" customHeight="1" x14ac:dyDescent="0.15">
      <c r="A20" s="286">
        <f t="shared" si="0"/>
        <v>42454</v>
      </c>
      <c r="B20" s="282" t="s">
        <v>102</v>
      </c>
      <c r="C20" s="283"/>
      <c r="D20" s="284" t="s">
        <v>137</v>
      </c>
      <c r="E20" s="284" t="s">
        <v>11</v>
      </c>
      <c r="F20" s="284"/>
      <c r="G20" s="285"/>
      <c r="H20" s="283" t="s">
        <v>3</v>
      </c>
      <c r="I20" s="284"/>
      <c r="J20" s="286">
        <f t="shared" si="1"/>
        <v>42454</v>
      </c>
      <c r="K20" s="283" t="s">
        <v>3</v>
      </c>
      <c r="L20" s="283"/>
      <c r="M20" s="283" t="s">
        <v>3</v>
      </c>
      <c r="N20" s="283"/>
      <c r="O20" s="285"/>
    </row>
    <row r="21" spans="1:15" s="194" customFormat="1" ht="15.6" customHeight="1" x14ac:dyDescent="0.15">
      <c r="A21" s="286">
        <f t="shared" si="0"/>
        <v>42455</v>
      </c>
      <c r="B21" s="282" t="s">
        <v>103</v>
      </c>
      <c r="C21" s="283"/>
      <c r="D21" s="284" t="s">
        <v>137</v>
      </c>
      <c r="E21" s="284" t="s">
        <v>11</v>
      </c>
      <c r="F21" s="284"/>
      <c r="G21" s="285"/>
      <c r="H21" s="283" t="s">
        <v>3</v>
      </c>
      <c r="I21" s="284"/>
      <c r="J21" s="286">
        <f t="shared" si="1"/>
        <v>42455</v>
      </c>
      <c r="K21" s="283" t="s">
        <v>3</v>
      </c>
      <c r="L21" s="283"/>
      <c r="M21" s="283" t="s">
        <v>3</v>
      </c>
      <c r="N21" s="283"/>
      <c r="O21" s="285"/>
    </row>
    <row r="22" spans="1:15" s="194" customFormat="1" ht="15.6" customHeight="1" x14ac:dyDescent="0.15">
      <c r="A22" s="286">
        <f t="shared" si="0"/>
        <v>42456</v>
      </c>
      <c r="B22" s="282" t="s">
        <v>104</v>
      </c>
      <c r="C22" s="283"/>
      <c r="D22" s="284" t="s">
        <v>137</v>
      </c>
      <c r="E22" s="284" t="s">
        <v>11</v>
      </c>
      <c r="F22" s="284"/>
      <c r="G22" s="285"/>
      <c r="H22" s="283" t="s">
        <v>3</v>
      </c>
      <c r="I22" s="284"/>
      <c r="J22" s="286">
        <f t="shared" si="1"/>
        <v>42456</v>
      </c>
      <c r="K22" s="283" t="s">
        <v>3</v>
      </c>
      <c r="L22" s="283"/>
      <c r="M22" s="283" t="s">
        <v>3</v>
      </c>
      <c r="N22" s="283"/>
      <c r="O22" s="285"/>
    </row>
    <row r="23" spans="1:15" s="194" customFormat="1" ht="15.6" customHeight="1" x14ac:dyDescent="0.15">
      <c r="A23" s="286">
        <f t="shared" si="0"/>
        <v>42457</v>
      </c>
      <c r="B23" s="282" t="s">
        <v>105</v>
      </c>
      <c r="C23" s="283" t="s">
        <v>139</v>
      </c>
      <c r="D23" s="284" t="s">
        <v>137</v>
      </c>
      <c r="E23" s="284" t="s">
        <v>11</v>
      </c>
      <c r="F23" s="284"/>
      <c r="G23" s="285"/>
      <c r="H23" s="283" t="s">
        <v>3</v>
      </c>
      <c r="I23" s="284"/>
      <c r="J23" s="286">
        <f t="shared" si="1"/>
        <v>42457</v>
      </c>
      <c r="K23" s="283" t="s">
        <v>3</v>
      </c>
      <c r="L23" s="283"/>
      <c r="M23" s="283" t="s">
        <v>3</v>
      </c>
      <c r="N23" s="283"/>
      <c r="O23" s="285"/>
    </row>
    <row r="24" spans="1:15" s="194" customFormat="1" ht="15.6" customHeight="1" x14ac:dyDescent="0.15">
      <c r="A24" s="286">
        <f t="shared" si="0"/>
        <v>42458</v>
      </c>
      <c r="B24" s="282" t="s">
        <v>106</v>
      </c>
      <c r="C24" s="283" t="s">
        <v>139</v>
      </c>
      <c r="D24" s="284" t="s">
        <v>137</v>
      </c>
      <c r="E24" s="284" t="s">
        <v>11</v>
      </c>
      <c r="F24" s="284"/>
      <c r="G24" s="285"/>
      <c r="H24" s="283" t="s">
        <v>3</v>
      </c>
      <c r="I24" s="284"/>
      <c r="J24" s="286">
        <v>29</v>
      </c>
      <c r="K24" s="283" t="s">
        <v>3</v>
      </c>
      <c r="L24" s="283"/>
      <c r="M24" s="283" t="s">
        <v>3</v>
      </c>
      <c r="N24" s="283"/>
      <c r="O24" s="285"/>
    </row>
    <row r="25" spans="1:15" s="194" customFormat="1" ht="15.6" customHeight="1" x14ac:dyDescent="0.15">
      <c r="A25" s="286">
        <f t="shared" si="0"/>
        <v>42459</v>
      </c>
      <c r="B25" s="282" t="s">
        <v>107</v>
      </c>
      <c r="C25" s="283" t="s">
        <v>139</v>
      </c>
      <c r="D25" s="284" t="s">
        <v>137</v>
      </c>
      <c r="E25" s="284" t="s">
        <v>11</v>
      </c>
      <c r="F25" s="284"/>
      <c r="G25" s="285"/>
      <c r="H25" s="283" t="s">
        <v>3</v>
      </c>
      <c r="I25" s="284"/>
      <c r="J25" s="286">
        <v>30</v>
      </c>
      <c r="K25" s="283" t="s">
        <v>3</v>
      </c>
      <c r="L25" s="283"/>
      <c r="M25" s="283" t="s">
        <v>3</v>
      </c>
      <c r="N25" s="283"/>
      <c r="O25" s="285"/>
    </row>
    <row r="26" spans="1:15" s="194" customFormat="1" ht="15.6" customHeight="1" x14ac:dyDescent="0.15">
      <c r="A26" s="286">
        <v>1</v>
      </c>
      <c r="B26" s="282" t="s">
        <v>101</v>
      </c>
      <c r="C26" s="283"/>
      <c r="D26" s="284" t="s">
        <v>137</v>
      </c>
      <c r="E26" s="284" t="s">
        <v>11</v>
      </c>
      <c r="F26" s="284"/>
      <c r="G26" s="285"/>
      <c r="H26" s="283" t="s">
        <v>3</v>
      </c>
      <c r="I26" s="284"/>
      <c r="J26" s="286">
        <v>2</v>
      </c>
      <c r="K26" s="283" t="s">
        <v>3</v>
      </c>
      <c r="L26" s="283"/>
      <c r="M26" s="283" t="s">
        <v>3</v>
      </c>
      <c r="N26" s="283"/>
      <c r="O26" s="285"/>
    </row>
    <row r="27" spans="1:15" s="194" customFormat="1" ht="15.6" customHeight="1" x14ac:dyDescent="0.15">
      <c r="A27" s="286">
        <v>2</v>
      </c>
      <c r="B27" s="282" t="s">
        <v>102</v>
      </c>
      <c r="C27" s="283" t="s">
        <v>140</v>
      </c>
      <c r="D27" s="284" t="s">
        <v>137</v>
      </c>
      <c r="E27" s="284" t="s">
        <v>11</v>
      </c>
      <c r="F27" s="284"/>
      <c r="G27" s="285"/>
      <c r="H27" s="283" t="s">
        <v>3</v>
      </c>
      <c r="I27" s="284"/>
      <c r="J27" s="286">
        <f t="shared" si="1"/>
        <v>3</v>
      </c>
      <c r="K27" s="283" t="s">
        <v>3</v>
      </c>
      <c r="L27" s="283"/>
      <c r="M27" s="283" t="s">
        <v>3</v>
      </c>
      <c r="N27" s="283"/>
      <c r="O27" s="285"/>
    </row>
    <row r="28" spans="1:15" s="194" customFormat="1" ht="15.6" customHeight="1" x14ac:dyDescent="0.15">
      <c r="A28" s="286">
        <f t="shared" si="0"/>
        <v>3</v>
      </c>
      <c r="B28" s="282" t="s">
        <v>103</v>
      </c>
      <c r="C28" s="283" t="s">
        <v>139</v>
      </c>
      <c r="D28" s="284" t="s">
        <v>137</v>
      </c>
      <c r="E28" s="284" t="s">
        <v>11</v>
      </c>
      <c r="F28" s="284"/>
      <c r="G28" s="285"/>
      <c r="H28" s="283" t="s">
        <v>3</v>
      </c>
      <c r="I28" s="284"/>
      <c r="J28" s="286">
        <f t="shared" si="1"/>
        <v>4</v>
      </c>
      <c r="K28" s="283" t="s">
        <v>3</v>
      </c>
      <c r="L28" s="283"/>
      <c r="M28" s="283" t="s">
        <v>3</v>
      </c>
      <c r="N28" s="283"/>
      <c r="O28" s="285"/>
    </row>
    <row r="29" spans="1:15" s="194" customFormat="1" ht="15" customHeight="1" x14ac:dyDescent="0.15">
      <c r="A29" s="286">
        <f t="shared" si="0"/>
        <v>4</v>
      </c>
      <c r="B29" s="282" t="s">
        <v>104</v>
      </c>
      <c r="C29" s="283" t="s">
        <v>139</v>
      </c>
      <c r="D29" s="284" t="s">
        <v>137</v>
      </c>
      <c r="E29" s="284" t="s">
        <v>11</v>
      </c>
      <c r="F29" s="284"/>
      <c r="G29" s="285"/>
      <c r="H29" s="283" t="s">
        <v>3</v>
      </c>
      <c r="I29" s="284"/>
      <c r="J29" s="286">
        <f t="shared" si="1"/>
        <v>5</v>
      </c>
      <c r="K29" s="283" t="s">
        <v>3</v>
      </c>
      <c r="L29" s="283"/>
      <c r="M29" s="283" t="s">
        <v>3</v>
      </c>
      <c r="N29" s="283"/>
      <c r="O29" s="285"/>
    </row>
    <row r="30" spans="1:15" s="194" customFormat="1" ht="15.6" customHeight="1" x14ac:dyDescent="0.15">
      <c r="A30" s="286">
        <f t="shared" si="0"/>
        <v>5</v>
      </c>
      <c r="B30" s="282" t="s">
        <v>105</v>
      </c>
      <c r="C30" s="283" t="s">
        <v>139</v>
      </c>
      <c r="D30" s="284" t="s">
        <v>137</v>
      </c>
      <c r="E30" s="284" t="s">
        <v>11</v>
      </c>
      <c r="F30" s="284"/>
      <c r="G30" s="285"/>
      <c r="H30" s="283" t="s">
        <v>3</v>
      </c>
      <c r="I30" s="284"/>
      <c r="J30" s="286">
        <f t="shared" ref="J30:J33" si="2">J29+1</f>
        <v>6</v>
      </c>
      <c r="K30" s="283" t="s">
        <v>3</v>
      </c>
      <c r="L30" s="283"/>
      <c r="M30" s="283" t="s">
        <v>3</v>
      </c>
      <c r="N30" s="283"/>
      <c r="O30" s="285"/>
    </row>
    <row r="31" spans="1:15" s="194" customFormat="1" ht="15.6" customHeight="1" x14ac:dyDescent="0.15">
      <c r="A31" s="286">
        <f t="shared" si="0"/>
        <v>6</v>
      </c>
      <c r="B31" s="282" t="s">
        <v>106</v>
      </c>
      <c r="C31" s="283" t="s">
        <v>139</v>
      </c>
      <c r="D31" s="284" t="s">
        <v>137</v>
      </c>
      <c r="E31" s="284" t="s">
        <v>11</v>
      </c>
      <c r="F31" s="284"/>
      <c r="G31" s="285"/>
      <c r="H31" s="283" t="s">
        <v>3</v>
      </c>
      <c r="I31" s="284"/>
      <c r="J31" s="286">
        <f t="shared" si="2"/>
        <v>7</v>
      </c>
      <c r="K31" s="283" t="s">
        <v>3</v>
      </c>
      <c r="L31" s="283"/>
      <c r="M31" s="283" t="s">
        <v>3</v>
      </c>
      <c r="N31" s="283"/>
      <c r="O31" s="285"/>
    </row>
    <row r="32" spans="1:15" s="194" customFormat="1" ht="15.6" customHeight="1" x14ac:dyDescent="0.15">
      <c r="A32" s="286">
        <f t="shared" si="0"/>
        <v>7</v>
      </c>
      <c r="B32" s="282" t="s">
        <v>107</v>
      </c>
      <c r="C32" s="283"/>
      <c r="D32" s="284" t="s">
        <v>137</v>
      </c>
      <c r="E32" s="284" t="s">
        <v>11</v>
      </c>
      <c r="F32" s="284"/>
      <c r="G32" s="285"/>
      <c r="H32" s="283" t="s">
        <v>3</v>
      </c>
      <c r="I32" s="284"/>
      <c r="J32" s="286">
        <f t="shared" si="2"/>
        <v>8</v>
      </c>
      <c r="K32" s="283" t="s">
        <v>3</v>
      </c>
      <c r="L32" s="283"/>
      <c r="M32" s="283" t="s">
        <v>3</v>
      </c>
      <c r="N32" s="283"/>
      <c r="O32" s="285"/>
    </row>
    <row r="33" spans="1:15" s="194" customFormat="1" ht="15.6" customHeight="1" x14ac:dyDescent="0.15">
      <c r="A33" s="286">
        <f t="shared" si="0"/>
        <v>8</v>
      </c>
      <c r="B33" s="282" t="s">
        <v>101</v>
      </c>
      <c r="C33" s="283"/>
      <c r="D33" s="284" t="s">
        <v>137</v>
      </c>
      <c r="E33" s="284" t="s">
        <v>11</v>
      </c>
      <c r="F33" s="284"/>
      <c r="G33" s="285"/>
      <c r="H33" s="283" t="s">
        <v>3</v>
      </c>
      <c r="I33" s="284"/>
      <c r="J33" s="286">
        <f t="shared" si="2"/>
        <v>9</v>
      </c>
      <c r="K33" s="283" t="s">
        <v>3</v>
      </c>
      <c r="L33" s="283"/>
      <c r="M33" s="283" t="s">
        <v>3</v>
      </c>
      <c r="N33" s="283"/>
      <c r="O33" s="285"/>
    </row>
    <row r="34" spans="1:15" s="194" customFormat="1" ht="15.6" customHeight="1" x14ac:dyDescent="0.15">
      <c r="A34" s="286">
        <v>9</v>
      </c>
      <c r="B34" s="282" t="s">
        <v>102</v>
      </c>
      <c r="C34" s="283"/>
      <c r="D34" s="284"/>
      <c r="E34" s="284"/>
      <c r="F34" s="284"/>
      <c r="G34" s="285"/>
      <c r="H34" s="283"/>
      <c r="I34" s="284"/>
      <c r="J34" s="286"/>
      <c r="K34" s="283"/>
      <c r="L34" s="283"/>
      <c r="M34" s="283"/>
      <c r="N34" s="283"/>
      <c r="O34" s="285"/>
    </row>
    <row r="35" spans="1:15" s="194" customFormat="1" ht="15.6" customHeight="1" x14ac:dyDescent="0.15">
      <c r="A35" s="286">
        <v>10</v>
      </c>
      <c r="B35" s="282" t="s">
        <v>103</v>
      </c>
      <c r="C35" s="283"/>
      <c r="D35" s="284" t="s">
        <v>137</v>
      </c>
      <c r="E35" s="284" t="s">
        <v>11</v>
      </c>
      <c r="F35" s="284"/>
      <c r="G35" s="285"/>
      <c r="H35" s="283" t="s">
        <v>3</v>
      </c>
      <c r="I35" s="284"/>
      <c r="J35" s="286">
        <f>J33+1</f>
        <v>10</v>
      </c>
      <c r="K35" s="283" t="s">
        <v>3</v>
      </c>
      <c r="L35" s="283"/>
      <c r="M35" s="283" t="s">
        <v>3</v>
      </c>
      <c r="N35" s="283"/>
      <c r="O35" s="285"/>
    </row>
    <row r="36" spans="1:15" s="194" customFormat="1" ht="26.25" customHeight="1" thickBot="1" x14ac:dyDescent="0.2">
      <c r="A36" s="278"/>
      <c r="B36" s="279"/>
      <c r="C36" s="280"/>
      <c r="D36" s="279"/>
      <c r="E36" s="279"/>
      <c r="F36" s="279"/>
      <c r="G36" s="281"/>
      <c r="H36" s="279"/>
      <c r="I36" s="279"/>
      <c r="J36" s="279"/>
      <c r="K36" s="280"/>
      <c r="L36" s="280"/>
      <c r="M36" s="280"/>
      <c r="N36" s="280"/>
      <c r="O36" s="279"/>
    </row>
    <row r="37" spans="1:15" s="194" customFormat="1" ht="22.5" customHeight="1" thickTop="1" x14ac:dyDescent="0.15">
      <c r="A37" s="28"/>
      <c r="B37" s="6"/>
      <c r="C37" s="7"/>
      <c r="D37" s="6"/>
      <c r="E37" s="6"/>
      <c r="F37" s="6"/>
      <c r="G37" s="21"/>
      <c r="H37" s="6"/>
      <c r="I37" s="6"/>
      <c r="J37" s="6"/>
      <c r="K37" s="7"/>
      <c r="L37" s="7"/>
      <c r="M37" s="7"/>
      <c r="N37" s="7"/>
      <c r="O37" s="6"/>
    </row>
    <row r="38" spans="1:15" s="4" customFormat="1" ht="9" customHeight="1" x14ac:dyDescent="0.2">
      <c r="A38" s="56"/>
      <c r="C38" s="269"/>
      <c r="D38" s="15"/>
      <c r="G38" s="22"/>
      <c r="M38" s="5"/>
      <c r="N38" s="5"/>
      <c r="O38" s="2"/>
    </row>
    <row r="39" spans="1:15" s="4" customFormat="1" ht="12" customHeight="1" x14ac:dyDescent="0.2">
      <c r="A39" s="56"/>
      <c r="C39" s="269"/>
      <c r="D39" s="15"/>
      <c r="G39" s="22"/>
      <c r="M39" s="5"/>
      <c r="N39" s="5"/>
      <c r="O39" s="2"/>
    </row>
    <row r="40" spans="1:15" s="194" customFormat="1" ht="15" customHeight="1" x14ac:dyDescent="0.15">
      <c r="A40" s="15" t="s">
        <v>42</v>
      </c>
      <c r="C40" s="270"/>
      <c r="D40" s="1"/>
      <c r="G40" s="20"/>
    </row>
    <row r="41" spans="1:15" s="194" customFormat="1" ht="15" customHeight="1" x14ac:dyDescent="0.15">
      <c r="A41" s="124" t="s">
        <v>43</v>
      </c>
      <c r="C41" s="270"/>
      <c r="D41" s="1"/>
      <c r="G41" s="20"/>
    </row>
    <row r="42" spans="1:15" x14ac:dyDescent="0.15">
      <c r="A42" s="124" t="s">
        <v>83</v>
      </c>
      <c r="G42"/>
    </row>
    <row r="43" spans="1:15" ht="9.75" customHeight="1" x14ac:dyDescent="0.15">
      <c r="A43" s="18"/>
      <c r="G43"/>
    </row>
    <row r="44" spans="1:15" x14ac:dyDescent="0.15">
      <c r="A44" s="123" t="s">
        <v>49</v>
      </c>
      <c r="B44" s="123"/>
      <c r="C44" s="269"/>
      <c r="D44" s="123"/>
      <c r="E44" s="123"/>
      <c r="F44" s="123"/>
      <c r="G44" s="123"/>
    </row>
    <row r="49" spans="1:15" s="4" customFormat="1" ht="15" customHeight="1" x14ac:dyDescent="0.2">
      <c r="A49" s="56"/>
      <c r="C49" s="269"/>
      <c r="D49" s="15"/>
      <c r="G49" s="22"/>
      <c r="M49" s="5"/>
      <c r="N49" s="5"/>
      <c r="O49" s="2"/>
    </row>
    <row r="50" spans="1:15" s="194" customFormat="1" ht="15" customHeight="1" x14ac:dyDescent="0.15">
      <c r="A50" s="55"/>
      <c r="C50" s="270"/>
      <c r="D50" s="1"/>
      <c r="G50" s="20"/>
    </row>
    <row r="51" spans="1:15" s="194" customFormat="1" ht="15" customHeight="1" x14ac:dyDescent="0.15">
      <c r="A51" s="18"/>
      <c r="C51" s="270"/>
      <c r="D51" s="1"/>
      <c r="G51" s="20"/>
    </row>
    <row r="52" spans="1:15" x14ac:dyDescent="0.15">
      <c r="G52"/>
    </row>
    <row r="53" spans="1:15" x14ac:dyDescent="0.15">
      <c r="G53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4" max="1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4"/>
  <sheetViews>
    <sheetView showGridLines="0" view="pageBreakPreview" zoomScale="90" zoomScaleNormal="85" zoomScaleSheetLayoutView="90" workbookViewId="0">
      <selection activeCell="J13" sqref="J13"/>
    </sheetView>
  </sheetViews>
  <sheetFormatPr defaultRowHeight="13.5" x14ac:dyDescent="0.15"/>
  <cols>
    <col min="1" max="1" width="3.625" customWidth="1"/>
    <col min="2" max="2" width="4.875" customWidth="1"/>
    <col min="3" max="3" width="10.5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54"/>
      <c r="F2" s="23"/>
      <c r="G2"/>
    </row>
    <row r="3" spans="1:18" s="51" customFormat="1" ht="21" customHeight="1" x14ac:dyDescent="0.15">
      <c r="A3" s="106" t="s">
        <v>99</v>
      </c>
      <c r="F3" s="105" t="s">
        <v>100</v>
      </c>
      <c r="G3" s="20"/>
      <c r="I3" s="105"/>
      <c r="J3" s="105"/>
      <c r="K3" s="122"/>
      <c r="L3" s="122"/>
      <c r="R3" s="106"/>
    </row>
    <row r="4" spans="1:18" s="51" customFormat="1" ht="15" customHeight="1" x14ac:dyDescent="0.15">
      <c r="A4" s="373" t="s">
        <v>2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51" customFormat="1" ht="14.25" customHeight="1" x14ac:dyDescent="0.15">
      <c r="A5" s="383"/>
      <c r="B5" s="383"/>
      <c r="C5" s="384"/>
      <c r="D5" s="17" t="s">
        <v>24</v>
      </c>
      <c r="E5" s="10" t="s">
        <v>23</v>
      </c>
      <c r="F5" s="53" t="s">
        <v>22</v>
      </c>
      <c r="G5" s="382"/>
      <c r="H5" s="121" t="s">
        <v>6</v>
      </c>
      <c r="I5" s="10" t="s">
        <v>1</v>
      </c>
      <c r="J5" s="383"/>
      <c r="K5" s="17" t="s">
        <v>5</v>
      </c>
      <c r="L5" s="9" t="s">
        <v>1</v>
      </c>
      <c r="M5" s="8" t="s">
        <v>4</v>
      </c>
      <c r="N5" s="10" t="s">
        <v>1</v>
      </c>
      <c r="O5" s="52" t="s">
        <v>21</v>
      </c>
    </row>
    <row r="6" spans="1:18" s="51" customFormat="1" ht="15.6" customHeight="1" x14ac:dyDescent="0.15">
      <c r="A6" s="247">
        <v>42440</v>
      </c>
      <c r="B6" s="33" t="s">
        <v>108</v>
      </c>
      <c r="C6" s="38" t="s">
        <v>133</v>
      </c>
      <c r="D6" s="249" t="s">
        <v>11</v>
      </c>
      <c r="E6" s="36" t="s">
        <v>11</v>
      </c>
      <c r="F6" s="120"/>
      <c r="G6" s="250"/>
      <c r="H6" s="230" t="s">
        <v>3</v>
      </c>
      <c r="I6" s="36"/>
      <c r="J6" s="94">
        <f>A6</f>
        <v>42440</v>
      </c>
      <c r="K6" s="248" t="s">
        <v>3</v>
      </c>
      <c r="L6" s="251"/>
      <c r="M6" s="25" t="s">
        <v>3</v>
      </c>
      <c r="N6" s="252"/>
      <c r="O6" s="96"/>
    </row>
    <row r="7" spans="1:18" s="51" customFormat="1" ht="15.6" customHeight="1" x14ac:dyDescent="0.15">
      <c r="A7" s="68">
        <f t="shared" ref="A7:A36" si="0">A6+1</f>
        <v>42441</v>
      </c>
      <c r="B7" s="37" t="s">
        <v>109</v>
      </c>
      <c r="C7" s="38" t="s">
        <v>133</v>
      </c>
      <c r="D7" s="71" t="s">
        <v>11</v>
      </c>
      <c r="E7" s="40" t="s">
        <v>11</v>
      </c>
      <c r="F7" s="111"/>
      <c r="G7" s="110"/>
      <c r="H7" s="69" t="s">
        <v>3</v>
      </c>
      <c r="I7" s="40"/>
      <c r="J7" s="68">
        <f t="shared" ref="J7:J36" si="1">J6+1</f>
        <v>42441</v>
      </c>
      <c r="K7" s="41" t="s">
        <v>3</v>
      </c>
      <c r="L7" s="42"/>
      <c r="M7" s="39" t="s">
        <v>3</v>
      </c>
      <c r="N7" s="206"/>
      <c r="O7" s="70"/>
    </row>
    <row r="8" spans="1:18" s="51" customFormat="1" ht="15.6" customHeight="1" x14ac:dyDescent="0.15">
      <c r="A8" s="68">
        <f t="shared" si="0"/>
        <v>42442</v>
      </c>
      <c r="B8" s="37" t="s">
        <v>107</v>
      </c>
      <c r="C8" s="71"/>
      <c r="D8" s="71" t="s">
        <v>110</v>
      </c>
      <c r="E8" s="40" t="s">
        <v>111</v>
      </c>
      <c r="F8" s="118"/>
      <c r="G8" s="85"/>
      <c r="H8" s="203" t="s">
        <v>3</v>
      </c>
      <c r="I8" s="40"/>
      <c r="J8" s="68">
        <f t="shared" si="1"/>
        <v>42442</v>
      </c>
      <c r="K8" s="214">
        <v>4.1666666666666664E-2</v>
      </c>
      <c r="L8" s="42"/>
      <c r="M8" s="39" t="s">
        <v>3</v>
      </c>
      <c r="N8" s="206"/>
      <c r="O8" s="70" t="s">
        <v>121</v>
      </c>
    </row>
    <row r="9" spans="1:18" s="51" customFormat="1" ht="15.6" customHeight="1" x14ac:dyDescent="0.15">
      <c r="A9" s="68">
        <f t="shared" si="0"/>
        <v>42443</v>
      </c>
      <c r="B9" s="37" t="s">
        <v>101</v>
      </c>
      <c r="C9" s="41"/>
      <c r="D9" s="71" t="s">
        <v>110</v>
      </c>
      <c r="E9" s="40" t="s">
        <v>112</v>
      </c>
      <c r="F9" s="118"/>
      <c r="G9" s="70"/>
      <c r="H9" s="203" t="s">
        <v>3</v>
      </c>
      <c r="I9" s="40"/>
      <c r="J9" s="68">
        <f t="shared" si="1"/>
        <v>42443</v>
      </c>
      <c r="K9" s="41" t="s">
        <v>3</v>
      </c>
      <c r="L9" s="42"/>
      <c r="M9" s="39" t="s">
        <v>3</v>
      </c>
      <c r="N9" s="206"/>
      <c r="O9" s="70"/>
    </row>
    <row r="10" spans="1:18" s="51" customFormat="1" ht="15.6" customHeight="1" x14ac:dyDescent="0.15">
      <c r="A10" s="65">
        <f t="shared" si="0"/>
        <v>42444</v>
      </c>
      <c r="B10" s="92" t="s">
        <v>102</v>
      </c>
      <c r="C10" s="112"/>
      <c r="D10" s="77" t="s">
        <v>110</v>
      </c>
      <c r="E10" s="74" t="s">
        <v>113</v>
      </c>
      <c r="F10" s="114"/>
      <c r="G10" s="109"/>
      <c r="H10" s="76" t="s">
        <v>3</v>
      </c>
      <c r="I10" s="74"/>
      <c r="J10" s="65">
        <f t="shared" si="1"/>
        <v>42444</v>
      </c>
      <c r="K10" s="256">
        <v>0.11458333333333333</v>
      </c>
      <c r="L10" s="113"/>
      <c r="M10" s="75" t="s">
        <v>3</v>
      </c>
      <c r="N10" s="195"/>
      <c r="O10" s="63" t="s">
        <v>123</v>
      </c>
    </row>
    <row r="11" spans="1:18" s="51" customFormat="1" ht="15.6" customHeight="1" x14ac:dyDescent="0.15">
      <c r="A11" s="94">
        <f t="shared" si="0"/>
        <v>42445</v>
      </c>
      <c r="B11" s="33" t="s">
        <v>103</v>
      </c>
      <c r="C11" s="34"/>
      <c r="D11" s="249" t="s">
        <v>110</v>
      </c>
      <c r="E11" s="36" t="s">
        <v>114</v>
      </c>
      <c r="F11" s="120"/>
      <c r="G11" s="250"/>
      <c r="H11" s="253" t="s">
        <v>20</v>
      </c>
      <c r="I11" s="36"/>
      <c r="J11" s="94">
        <f t="shared" si="1"/>
        <v>42445</v>
      </c>
      <c r="K11" s="257">
        <v>5.2083333333333336E-2</v>
      </c>
      <c r="L11" s="45"/>
      <c r="M11" s="25" t="s">
        <v>3</v>
      </c>
      <c r="N11" s="254"/>
      <c r="O11" s="96" t="s">
        <v>124</v>
      </c>
    </row>
    <row r="12" spans="1:18" s="51" customFormat="1" ht="15.6" customHeight="1" x14ac:dyDescent="0.15">
      <c r="A12" s="68">
        <f t="shared" si="0"/>
        <v>42446</v>
      </c>
      <c r="B12" s="37" t="s">
        <v>104</v>
      </c>
      <c r="C12" s="38"/>
      <c r="D12" s="71" t="s">
        <v>110</v>
      </c>
      <c r="E12" s="40" t="s">
        <v>115</v>
      </c>
      <c r="F12" s="111"/>
      <c r="G12" s="110"/>
      <c r="H12" s="69" t="s">
        <v>3</v>
      </c>
      <c r="I12" s="40"/>
      <c r="J12" s="68">
        <f t="shared" si="1"/>
        <v>42446</v>
      </c>
      <c r="K12" s="214">
        <v>0.13541666666666666</v>
      </c>
      <c r="L12" s="42"/>
      <c r="M12" s="39" t="s">
        <v>3</v>
      </c>
      <c r="N12" s="206"/>
      <c r="O12" s="70" t="s">
        <v>125</v>
      </c>
    </row>
    <row r="13" spans="1:18" s="51" customFormat="1" ht="15.6" customHeight="1" x14ac:dyDescent="0.15">
      <c r="A13" s="68">
        <f t="shared" si="0"/>
        <v>42447</v>
      </c>
      <c r="B13" s="37" t="s">
        <v>105</v>
      </c>
      <c r="C13" s="38" t="s">
        <v>133</v>
      </c>
      <c r="D13" s="93" t="s">
        <v>11</v>
      </c>
      <c r="E13" s="40" t="s">
        <v>11</v>
      </c>
      <c r="F13" s="111"/>
      <c r="G13" s="110"/>
      <c r="H13" s="69" t="s">
        <v>3</v>
      </c>
      <c r="I13" s="40"/>
      <c r="J13" s="68">
        <f t="shared" si="1"/>
        <v>42447</v>
      </c>
      <c r="K13" s="41" t="s">
        <v>3</v>
      </c>
      <c r="L13" s="42"/>
      <c r="M13" s="39" t="s">
        <v>3</v>
      </c>
      <c r="N13" s="206"/>
      <c r="O13" s="70"/>
    </row>
    <row r="14" spans="1:18" s="51" customFormat="1" ht="15.6" customHeight="1" x14ac:dyDescent="0.15">
      <c r="A14" s="68">
        <f t="shared" si="0"/>
        <v>42448</v>
      </c>
      <c r="B14" s="37" t="s">
        <v>106</v>
      </c>
      <c r="C14" s="38" t="s">
        <v>133</v>
      </c>
      <c r="D14" s="71" t="s">
        <v>11</v>
      </c>
      <c r="E14" s="40" t="s">
        <v>11</v>
      </c>
      <c r="F14" s="111"/>
      <c r="G14" s="110"/>
      <c r="H14" s="69" t="s">
        <v>3</v>
      </c>
      <c r="I14" s="40"/>
      <c r="J14" s="68">
        <f t="shared" si="1"/>
        <v>42448</v>
      </c>
      <c r="K14" s="41" t="s">
        <v>3</v>
      </c>
      <c r="L14" s="42"/>
      <c r="M14" s="39" t="s">
        <v>3</v>
      </c>
      <c r="N14" s="206"/>
      <c r="O14" s="70"/>
    </row>
    <row r="15" spans="1:18" s="51" customFormat="1" ht="15.6" customHeight="1" x14ac:dyDescent="0.15">
      <c r="A15" s="65">
        <f t="shared" si="0"/>
        <v>42449</v>
      </c>
      <c r="B15" s="92" t="s">
        <v>107</v>
      </c>
      <c r="C15" s="91"/>
      <c r="D15" s="77" t="s">
        <v>11</v>
      </c>
      <c r="E15" s="74" t="s">
        <v>11</v>
      </c>
      <c r="F15" s="114"/>
      <c r="G15" s="109"/>
      <c r="H15" s="90" t="s">
        <v>20</v>
      </c>
      <c r="I15" s="74"/>
      <c r="J15" s="65">
        <f t="shared" si="1"/>
        <v>42449</v>
      </c>
      <c r="K15" s="112" t="s">
        <v>3</v>
      </c>
      <c r="L15" s="113"/>
      <c r="M15" s="75" t="s">
        <v>3</v>
      </c>
      <c r="N15" s="195"/>
      <c r="O15" s="63"/>
    </row>
    <row r="16" spans="1:18" s="51" customFormat="1" ht="15.6" customHeight="1" x14ac:dyDescent="0.15">
      <c r="A16" s="68">
        <f t="shared" si="0"/>
        <v>42450</v>
      </c>
      <c r="B16" s="37" t="s">
        <v>101</v>
      </c>
      <c r="C16" s="71"/>
      <c r="D16" s="71" t="s">
        <v>110</v>
      </c>
      <c r="E16" s="40" t="s">
        <v>116</v>
      </c>
      <c r="F16" s="111"/>
      <c r="G16" s="110"/>
      <c r="H16" s="87" t="s">
        <v>20</v>
      </c>
      <c r="I16" s="40"/>
      <c r="J16" s="68">
        <f t="shared" si="1"/>
        <v>42450</v>
      </c>
      <c r="K16" s="214">
        <v>8.3333333333333329E-2</v>
      </c>
      <c r="L16" s="42"/>
      <c r="M16" s="39" t="s">
        <v>3</v>
      </c>
      <c r="N16" s="206"/>
      <c r="O16" s="70" t="s">
        <v>126</v>
      </c>
    </row>
    <row r="17" spans="1:15" s="51" customFormat="1" ht="15.6" customHeight="1" x14ac:dyDescent="0.15">
      <c r="A17" s="68">
        <f t="shared" si="0"/>
        <v>42451</v>
      </c>
      <c r="B17" s="37" t="s">
        <v>102</v>
      </c>
      <c r="C17" s="41"/>
      <c r="D17" s="71" t="s">
        <v>110</v>
      </c>
      <c r="E17" s="40" t="s">
        <v>112</v>
      </c>
      <c r="F17" s="111"/>
      <c r="G17" s="110"/>
      <c r="H17" s="69" t="s">
        <v>3</v>
      </c>
      <c r="I17" s="40"/>
      <c r="J17" s="68">
        <f t="shared" si="1"/>
        <v>42451</v>
      </c>
      <c r="K17" s="41" t="s">
        <v>3</v>
      </c>
      <c r="L17" s="42"/>
      <c r="M17" s="39" t="s">
        <v>3</v>
      </c>
      <c r="N17" s="206"/>
      <c r="O17" s="70"/>
    </row>
    <row r="18" spans="1:15" s="51" customFormat="1" ht="15.6" customHeight="1" x14ac:dyDescent="0.15">
      <c r="A18" s="68">
        <f t="shared" si="0"/>
        <v>42452</v>
      </c>
      <c r="B18" s="37" t="s">
        <v>103</v>
      </c>
      <c r="C18" s="41"/>
      <c r="D18" s="71" t="s">
        <v>110</v>
      </c>
      <c r="E18" s="40" t="s">
        <v>114</v>
      </c>
      <c r="F18" s="111"/>
      <c r="G18" s="110"/>
      <c r="H18" s="69" t="s">
        <v>3</v>
      </c>
      <c r="I18" s="40"/>
      <c r="J18" s="68">
        <f t="shared" si="1"/>
        <v>42452</v>
      </c>
      <c r="K18" s="41" t="s">
        <v>3</v>
      </c>
      <c r="L18" s="42"/>
      <c r="M18" s="39" t="s">
        <v>3</v>
      </c>
      <c r="N18" s="206"/>
      <c r="O18" s="70"/>
    </row>
    <row r="19" spans="1:15" s="51" customFormat="1" ht="15.6" customHeight="1" x14ac:dyDescent="0.15">
      <c r="A19" s="68">
        <f t="shared" si="0"/>
        <v>42453</v>
      </c>
      <c r="B19" s="37" t="s">
        <v>104</v>
      </c>
      <c r="C19" s="71"/>
      <c r="D19" s="71" t="s">
        <v>110</v>
      </c>
      <c r="E19" s="40" t="s">
        <v>112</v>
      </c>
      <c r="F19" s="111"/>
      <c r="G19" s="110"/>
      <c r="H19" s="87" t="s">
        <v>20</v>
      </c>
      <c r="I19" s="40"/>
      <c r="J19" s="68">
        <f t="shared" si="1"/>
        <v>42453</v>
      </c>
      <c r="K19" s="214">
        <v>5.2083333333333336E-2</v>
      </c>
      <c r="L19" s="42"/>
      <c r="M19" s="39" t="s">
        <v>3</v>
      </c>
      <c r="N19" s="206"/>
      <c r="O19" s="70" t="s">
        <v>127</v>
      </c>
    </row>
    <row r="20" spans="1:15" s="51" customFormat="1" ht="15.6" customHeight="1" x14ac:dyDescent="0.15">
      <c r="A20" s="65">
        <f t="shared" si="0"/>
        <v>42454</v>
      </c>
      <c r="B20" s="92" t="s">
        <v>105</v>
      </c>
      <c r="C20" s="266" t="s">
        <v>133</v>
      </c>
      <c r="D20" s="77" t="s">
        <v>11</v>
      </c>
      <c r="E20" s="74" t="s">
        <v>11</v>
      </c>
      <c r="F20" s="114"/>
      <c r="G20" s="109"/>
      <c r="H20" s="76" t="s">
        <v>3</v>
      </c>
      <c r="I20" s="74"/>
      <c r="J20" s="65">
        <f t="shared" si="1"/>
        <v>42454</v>
      </c>
      <c r="K20" s="112" t="s">
        <v>3</v>
      </c>
      <c r="L20" s="113"/>
      <c r="M20" s="75" t="s">
        <v>3</v>
      </c>
      <c r="N20" s="195"/>
      <c r="O20" s="63"/>
    </row>
    <row r="21" spans="1:15" s="51" customFormat="1" ht="15.6" customHeight="1" x14ac:dyDescent="0.15">
      <c r="A21" s="255">
        <f t="shared" si="0"/>
        <v>42455</v>
      </c>
      <c r="B21" s="33" t="s">
        <v>106</v>
      </c>
      <c r="C21" s="38" t="s">
        <v>133</v>
      </c>
      <c r="D21" s="249" t="s">
        <v>11</v>
      </c>
      <c r="E21" s="36" t="s">
        <v>11</v>
      </c>
      <c r="F21" s="120"/>
      <c r="G21" s="250"/>
      <c r="H21" s="230" t="s">
        <v>3</v>
      </c>
      <c r="I21" s="36"/>
      <c r="J21" s="94">
        <f t="shared" si="1"/>
        <v>42455</v>
      </c>
      <c r="K21" s="248" t="s">
        <v>3</v>
      </c>
      <c r="L21" s="45"/>
      <c r="M21" s="25" t="s">
        <v>3</v>
      </c>
      <c r="N21" s="254"/>
      <c r="O21" s="96"/>
    </row>
    <row r="22" spans="1:15" s="51" customFormat="1" ht="15.6" customHeight="1" x14ac:dyDescent="0.15">
      <c r="A22" s="35">
        <f t="shared" si="0"/>
        <v>42456</v>
      </c>
      <c r="B22" s="37" t="s">
        <v>107</v>
      </c>
      <c r="C22" s="38" t="s">
        <v>133</v>
      </c>
      <c r="D22" s="71" t="s">
        <v>110</v>
      </c>
      <c r="E22" s="40" t="s">
        <v>114</v>
      </c>
      <c r="F22" s="111"/>
      <c r="G22" s="110"/>
      <c r="H22" s="69" t="s">
        <v>3</v>
      </c>
      <c r="I22" s="40"/>
      <c r="J22" s="68">
        <f t="shared" si="1"/>
        <v>42456</v>
      </c>
      <c r="K22" s="214">
        <v>5.2083333333333336E-2</v>
      </c>
      <c r="L22" s="42"/>
      <c r="M22" s="39" t="s">
        <v>3</v>
      </c>
      <c r="N22" s="206"/>
      <c r="O22" s="70" t="s">
        <v>128</v>
      </c>
    </row>
    <row r="23" spans="1:15" s="51" customFormat="1" ht="15.6" customHeight="1" x14ac:dyDescent="0.15">
      <c r="A23" s="35">
        <f t="shared" si="0"/>
        <v>42457</v>
      </c>
      <c r="B23" s="37" t="s">
        <v>101</v>
      </c>
      <c r="C23" s="41"/>
      <c r="D23" s="71" t="s">
        <v>110</v>
      </c>
      <c r="E23" s="40" t="s">
        <v>112</v>
      </c>
      <c r="F23" s="111"/>
      <c r="G23" s="110"/>
      <c r="H23" s="69" t="s">
        <v>3</v>
      </c>
      <c r="I23" s="40"/>
      <c r="J23" s="68">
        <f t="shared" si="1"/>
        <v>42457</v>
      </c>
      <c r="K23" s="41" t="s">
        <v>3</v>
      </c>
      <c r="L23" s="42"/>
      <c r="M23" s="39" t="s">
        <v>3</v>
      </c>
      <c r="N23" s="206"/>
      <c r="O23" s="70"/>
    </row>
    <row r="24" spans="1:15" s="51" customFormat="1" ht="15.6" customHeight="1" x14ac:dyDescent="0.15">
      <c r="A24" s="35">
        <f t="shared" si="0"/>
        <v>42458</v>
      </c>
      <c r="B24" s="37" t="s">
        <v>102</v>
      </c>
      <c r="C24" s="41"/>
      <c r="D24" s="71" t="s">
        <v>110</v>
      </c>
      <c r="E24" s="40" t="s">
        <v>117</v>
      </c>
      <c r="F24" s="111"/>
      <c r="G24" s="110"/>
      <c r="H24" s="69" t="s">
        <v>3</v>
      </c>
      <c r="I24" s="40"/>
      <c r="J24" s="68">
        <f t="shared" si="1"/>
        <v>42458</v>
      </c>
      <c r="K24" s="214">
        <v>7.2916666666666671E-2</v>
      </c>
      <c r="L24" s="42"/>
      <c r="M24" s="39" t="s">
        <v>3</v>
      </c>
      <c r="N24" s="206"/>
      <c r="O24" s="70" t="s">
        <v>129</v>
      </c>
    </row>
    <row r="25" spans="1:15" s="51" customFormat="1" ht="15.6" customHeight="1" x14ac:dyDescent="0.15">
      <c r="A25" s="35">
        <f t="shared" si="0"/>
        <v>42459</v>
      </c>
      <c r="B25" s="37" t="s">
        <v>103</v>
      </c>
      <c r="C25" s="198"/>
      <c r="D25" s="71" t="s">
        <v>110</v>
      </c>
      <c r="E25" s="40" t="s">
        <v>118</v>
      </c>
      <c r="F25" s="118"/>
      <c r="G25" s="117"/>
      <c r="H25" s="84" t="s">
        <v>3</v>
      </c>
      <c r="I25" s="30"/>
      <c r="J25" s="83">
        <f t="shared" si="1"/>
        <v>42459</v>
      </c>
      <c r="K25" s="258">
        <v>3.125E-2</v>
      </c>
      <c r="L25" s="31"/>
      <c r="M25" s="26" t="s">
        <v>3</v>
      </c>
      <c r="N25" s="207"/>
      <c r="O25" s="85" t="s">
        <v>129</v>
      </c>
    </row>
    <row r="26" spans="1:15" s="27" customFormat="1" ht="15.6" customHeight="1" x14ac:dyDescent="0.15">
      <c r="A26" s="65">
        <f t="shared" si="0"/>
        <v>42460</v>
      </c>
      <c r="B26" s="92" t="s">
        <v>104</v>
      </c>
      <c r="C26" s="47"/>
      <c r="D26" s="77" t="s">
        <v>110</v>
      </c>
      <c r="E26" s="74" t="s">
        <v>119</v>
      </c>
      <c r="F26" s="116"/>
      <c r="G26" s="115"/>
      <c r="H26" s="76" t="s">
        <v>3</v>
      </c>
      <c r="I26" s="48"/>
      <c r="J26" s="29">
        <f t="shared" si="1"/>
        <v>42460</v>
      </c>
      <c r="K26" s="259">
        <v>0.15625</v>
      </c>
      <c r="L26" s="49"/>
      <c r="M26" s="81" t="s">
        <v>3</v>
      </c>
      <c r="N26" s="208"/>
      <c r="O26" s="82" t="s">
        <v>130</v>
      </c>
    </row>
    <row r="27" spans="1:15" s="51" customFormat="1" ht="15.6" customHeight="1" x14ac:dyDescent="0.15">
      <c r="A27" s="94">
        <f t="shared" si="0"/>
        <v>42461</v>
      </c>
      <c r="B27" s="33" t="s">
        <v>105</v>
      </c>
      <c r="C27" s="38" t="s">
        <v>133</v>
      </c>
      <c r="D27" s="249" t="s">
        <v>11</v>
      </c>
      <c r="E27" s="36" t="s">
        <v>11</v>
      </c>
      <c r="F27" s="120"/>
      <c r="G27" s="250"/>
      <c r="H27" s="230" t="s">
        <v>3</v>
      </c>
      <c r="I27" s="36"/>
      <c r="J27" s="94">
        <f t="shared" si="1"/>
        <v>42461</v>
      </c>
      <c r="K27" s="248" t="s">
        <v>3</v>
      </c>
      <c r="L27" s="45"/>
      <c r="M27" s="25" t="s">
        <v>3</v>
      </c>
      <c r="N27" s="254"/>
      <c r="O27" s="96"/>
    </row>
    <row r="28" spans="1:15" s="51" customFormat="1" ht="15.6" customHeight="1" x14ac:dyDescent="0.15">
      <c r="A28" s="35">
        <f t="shared" si="0"/>
        <v>42462</v>
      </c>
      <c r="B28" s="260" t="s">
        <v>106</v>
      </c>
      <c r="C28" s="38" t="s">
        <v>133</v>
      </c>
      <c r="D28" s="16" t="s">
        <v>11</v>
      </c>
      <c r="E28" s="30" t="s">
        <v>11</v>
      </c>
      <c r="F28" s="118"/>
      <c r="G28" s="117"/>
      <c r="H28" s="84" t="s">
        <v>3</v>
      </c>
      <c r="I28" s="30"/>
      <c r="J28" s="83">
        <f t="shared" si="1"/>
        <v>42462</v>
      </c>
      <c r="K28" s="198" t="s">
        <v>3</v>
      </c>
      <c r="L28" s="31"/>
      <c r="M28" s="26" t="s">
        <v>3</v>
      </c>
      <c r="N28" s="207"/>
      <c r="O28" s="85"/>
    </row>
    <row r="29" spans="1:15" s="51" customFormat="1" ht="15.6" customHeight="1" x14ac:dyDescent="0.15">
      <c r="A29" s="35">
        <f t="shared" si="0"/>
        <v>42463</v>
      </c>
      <c r="B29" s="260" t="s">
        <v>107</v>
      </c>
      <c r="C29" s="198"/>
      <c r="D29" s="16" t="s">
        <v>110</v>
      </c>
      <c r="E29" s="30" t="s">
        <v>112</v>
      </c>
      <c r="F29" s="118"/>
      <c r="G29" s="117"/>
      <c r="H29" s="84" t="s">
        <v>3</v>
      </c>
      <c r="I29" s="30"/>
      <c r="J29" s="83">
        <f t="shared" si="1"/>
        <v>42463</v>
      </c>
      <c r="K29" s="198" t="s">
        <v>3</v>
      </c>
      <c r="L29" s="31"/>
      <c r="M29" s="26" t="s">
        <v>3</v>
      </c>
      <c r="N29" s="207"/>
      <c r="O29" s="85"/>
    </row>
    <row r="30" spans="1:15" s="51" customFormat="1" ht="15.6" customHeight="1" x14ac:dyDescent="0.15">
      <c r="A30" s="35">
        <f t="shared" si="0"/>
        <v>42464</v>
      </c>
      <c r="B30" s="260" t="s">
        <v>101</v>
      </c>
      <c r="C30" s="16"/>
      <c r="D30" s="16" t="s">
        <v>110</v>
      </c>
      <c r="E30" s="30" t="s">
        <v>112</v>
      </c>
      <c r="F30" s="118"/>
      <c r="G30" s="117"/>
      <c r="H30" s="84" t="s">
        <v>3</v>
      </c>
      <c r="I30" s="30"/>
      <c r="J30" s="83">
        <f t="shared" si="1"/>
        <v>42464</v>
      </c>
      <c r="K30" s="198" t="s">
        <v>3</v>
      </c>
      <c r="L30" s="31"/>
      <c r="M30" s="26" t="s">
        <v>3</v>
      </c>
      <c r="N30" s="207"/>
      <c r="O30" s="85"/>
    </row>
    <row r="31" spans="1:15" s="51" customFormat="1" ht="15.6" customHeight="1" x14ac:dyDescent="0.15">
      <c r="A31" s="61">
        <f t="shared" si="0"/>
        <v>42465</v>
      </c>
      <c r="B31" s="261" t="s">
        <v>102</v>
      </c>
      <c r="C31" s="11"/>
      <c r="D31" s="11" t="s">
        <v>122</v>
      </c>
      <c r="E31" s="44" t="s">
        <v>120</v>
      </c>
      <c r="F31" s="12"/>
      <c r="G31" s="262"/>
      <c r="H31" s="62" t="s">
        <v>3</v>
      </c>
      <c r="I31" s="44"/>
      <c r="J31" s="61">
        <f t="shared" si="1"/>
        <v>42465</v>
      </c>
      <c r="K31" s="263">
        <v>8.3333333333333329E-2</v>
      </c>
      <c r="L31" s="13"/>
      <c r="M31" s="14" t="s">
        <v>3</v>
      </c>
      <c r="N31" s="264"/>
      <c r="O31" s="265" t="s">
        <v>131</v>
      </c>
    </row>
    <row r="32" spans="1:15" s="51" customFormat="1" ht="15.6" customHeight="1" x14ac:dyDescent="0.15">
      <c r="A32" s="73">
        <f t="shared" si="0"/>
        <v>42466</v>
      </c>
      <c r="B32" s="37" t="s">
        <v>103</v>
      </c>
      <c r="C32" s="71"/>
      <c r="D32" s="71" t="s">
        <v>110</v>
      </c>
      <c r="E32" s="40" t="s">
        <v>114</v>
      </c>
      <c r="F32" s="111"/>
      <c r="G32" s="110"/>
      <c r="H32" s="69" t="s">
        <v>3</v>
      </c>
      <c r="I32" s="40"/>
      <c r="J32" s="68">
        <f t="shared" si="1"/>
        <v>42466</v>
      </c>
      <c r="K32" s="214">
        <v>5.2083333333333336E-2</v>
      </c>
      <c r="L32" s="42"/>
      <c r="M32" s="39" t="s">
        <v>3</v>
      </c>
      <c r="N32" s="206"/>
      <c r="O32" s="70" t="s">
        <v>132</v>
      </c>
    </row>
    <row r="33" spans="1:15" s="51" customFormat="1" ht="15.6" customHeight="1" x14ac:dyDescent="0.15">
      <c r="A33" s="35">
        <f t="shared" si="0"/>
        <v>42467</v>
      </c>
      <c r="B33" s="37" t="s">
        <v>104</v>
      </c>
      <c r="C33" s="41"/>
      <c r="D33" s="71" t="s">
        <v>110</v>
      </c>
      <c r="E33" s="40" t="s">
        <v>119</v>
      </c>
      <c r="F33" s="111"/>
      <c r="G33" s="110"/>
      <c r="H33" s="69" t="s">
        <v>3</v>
      </c>
      <c r="I33" s="40"/>
      <c r="J33" s="68">
        <f t="shared" si="1"/>
        <v>42467</v>
      </c>
      <c r="K33" s="214">
        <v>0.15625</v>
      </c>
      <c r="L33" s="42"/>
      <c r="M33" s="39" t="s">
        <v>3</v>
      </c>
      <c r="N33" s="206"/>
      <c r="O33" s="70" t="s">
        <v>130</v>
      </c>
    </row>
    <row r="34" spans="1:15" s="51" customFormat="1" ht="15.6" customHeight="1" x14ac:dyDescent="0.15">
      <c r="A34" s="35">
        <f t="shared" si="0"/>
        <v>42468</v>
      </c>
      <c r="B34" s="37" t="s">
        <v>105</v>
      </c>
      <c r="C34" s="38" t="s">
        <v>133</v>
      </c>
      <c r="D34" s="71" t="s">
        <v>11</v>
      </c>
      <c r="E34" s="40" t="s">
        <v>11</v>
      </c>
      <c r="F34" s="111"/>
      <c r="G34" s="110"/>
      <c r="H34" s="69" t="s">
        <v>3</v>
      </c>
      <c r="I34" s="40"/>
      <c r="J34" s="68">
        <f t="shared" si="1"/>
        <v>42468</v>
      </c>
      <c r="K34" s="41" t="s">
        <v>3</v>
      </c>
      <c r="L34" s="42"/>
      <c r="M34" s="39" t="s">
        <v>3</v>
      </c>
      <c r="N34" s="206"/>
      <c r="O34" s="70"/>
    </row>
    <row r="35" spans="1:15" s="51" customFormat="1" ht="15.6" customHeight="1" x14ac:dyDescent="0.15">
      <c r="A35" s="35">
        <f t="shared" si="0"/>
        <v>42469</v>
      </c>
      <c r="B35" s="37" t="s">
        <v>106</v>
      </c>
      <c r="C35" s="38" t="s">
        <v>133</v>
      </c>
      <c r="D35" s="71" t="s">
        <v>11</v>
      </c>
      <c r="E35" s="40" t="s">
        <v>11</v>
      </c>
      <c r="F35" s="111"/>
      <c r="G35" s="110"/>
      <c r="H35" s="69" t="s">
        <v>3</v>
      </c>
      <c r="I35" s="40"/>
      <c r="J35" s="68">
        <f t="shared" si="1"/>
        <v>42469</v>
      </c>
      <c r="K35" s="41" t="s">
        <v>3</v>
      </c>
      <c r="L35" s="42"/>
      <c r="M35" s="39" t="s">
        <v>3</v>
      </c>
      <c r="N35" s="206"/>
      <c r="O35" s="70"/>
    </row>
    <row r="36" spans="1:15" s="51" customFormat="1" ht="15.6" customHeight="1" x14ac:dyDescent="0.15">
      <c r="A36" s="65">
        <f t="shared" si="0"/>
        <v>42470</v>
      </c>
      <c r="B36" s="92" t="s">
        <v>107</v>
      </c>
      <c r="C36" s="11"/>
      <c r="D36" s="71" t="s">
        <v>110</v>
      </c>
      <c r="E36" s="40" t="s">
        <v>112</v>
      </c>
      <c r="F36" s="12"/>
      <c r="G36" s="109"/>
      <c r="H36" s="62" t="s">
        <v>3</v>
      </c>
      <c r="I36" s="12"/>
      <c r="J36" s="61">
        <f t="shared" si="1"/>
        <v>42470</v>
      </c>
      <c r="K36" s="199" t="s">
        <v>3</v>
      </c>
      <c r="L36" s="13"/>
      <c r="M36" s="14" t="s">
        <v>3</v>
      </c>
      <c r="N36" s="200"/>
      <c r="O36" s="63"/>
    </row>
    <row r="37" spans="1:15" s="51" customFormat="1" ht="26.25" customHeight="1" x14ac:dyDescent="0.15">
      <c r="A37" s="28"/>
      <c r="B37" s="6"/>
      <c r="C37" s="6"/>
      <c r="D37" s="6"/>
      <c r="E37" s="6"/>
      <c r="F37" s="6"/>
      <c r="G37" s="21"/>
      <c r="H37" s="6"/>
      <c r="I37" s="6"/>
      <c r="J37" s="6"/>
      <c r="K37" s="7"/>
      <c r="L37" s="7"/>
      <c r="M37" s="7"/>
      <c r="N37" s="7"/>
      <c r="O37" s="6"/>
    </row>
    <row r="38" spans="1:15" s="51" customFormat="1" ht="22.5" customHeight="1" x14ac:dyDescent="0.15">
      <c r="A38" s="28"/>
      <c r="B38" s="6"/>
      <c r="C38" s="6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3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3"/>
      <c r="D40" s="15"/>
      <c r="G40" s="22"/>
      <c r="M40" s="5"/>
      <c r="N40" s="5"/>
      <c r="O40" s="2"/>
    </row>
    <row r="41" spans="1:15" s="51" customFormat="1" ht="15" customHeight="1" x14ac:dyDescent="0.15">
      <c r="A41" s="15" t="s">
        <v>42</v>
      </c>
      <c r="C41" s="1"/>
      <c r="D41" s="1"/>
      <c r="G41" s="20"/>
    </row>
    <row r="42" spans="1:15" s="51" customFormat="1" ht="15" customHeight="1" x14ac:dyDescent="0.15">
      <c r="A42" s="124" t="s">
        <v>43</v>
      </c>
      <c r="C42" s="1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123"/>
      <c r="D45" s="123"/>
      <c r="E45" s="123"/>
      <c r="F45" s="123"/>
      <c r="G45" s="123"/>
    </row>
    <row r="50" spans="1:15" s="4" customFormat="1" ht="15" customHeight="1" x14ac:dyDescent="0.2">
      <c r="A50" s="56"/>
      <c r="C50" s="3"/>
      <c r="D50" s="15"/>
      <c r="G50" s="22"/>
      <c r="M50" s="5"/>
      <c r="N50" s="5"/>
      <c r="O50" s="2"/>
    </row>
    <row r="51" spans="1:15" s="51" customFormat="1" ht="15" customHeight="1" x14ac:dyDescent="0.15">
      <c r="A51" s="55"/>
      <c r="C51" s="1"/>
      <c r="D51" s="1"/>
      <c r="G51" s="20"/>
    </row>
    <row r="52" spans="1:15" s="51" customFormat="1" ht="15" customHeight="1" x14ac:dyDescent="0.15">
      <c r="A52" s="18"/>
      <c r="C52" s="1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D4:F4"/>
    <mergeCell ref="G4:G5"/>
    <mergeCell ref="A4:A5"/>
    <mergeCell ref="B4:B5"/>
    <mergeCell ref="C4:C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4"/>
  <sheetViews>
    <sheetView showGridLines="0" zoomScale="85" zoomScaleNormal="85" workbookViewId="0"/>
  </sheetViews>
  <sheetFormatPr defaultRowHeight="13.5" x14ac:dyDescent="0.15"/>
  <cols>
    <col min="1" max="1" width="3.625" customWidth="1"/>
    <col min="2" max="2" width="4.875" customWidth="1"/>
    <col min="3" max="3" width="10.5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86</v>
      </c>
      <c r="F3" s="211" t="s">
        <v>69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2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83"/>
      <c r="B5" s="383"/>
      <c r="C5" s="384"/>
      <c r="D5" s="17" t="s">
        <v>16</v>
      </c>
      <c r="E5" s="10" t="s">
        <v>15</v>
      </c>
      <c r="F5" s="53" t="s">
        <v>22</v>
      </c>
      <c r="G5" s="382"/>
      <c r="H5" s="121" t="s">
        <v>6</v>
      </c>
      <c r="I5" s="10" t="s">
        <v>1</v>
      </c>
      <c r="J5" s="383"/>
      <c r="K5" s="17" t="s">
        <v>5</v>
      </c>
      <c r="L5" s="9" t="s">
        <v>1</v>
      </c>
      <c r="M5" s="8" t="s">
        <v>4</v>
      </c>
      <c r="N5" s="10" t="s">
        <v>1</v>
      </c>
      <c r="O5" s="197" t="s">
        <v>21</v>
      </c>
    </row>
    <row r="6" spans="1:18" s="194" customFormat="1" ht="15.6" customHeight="1" x14ac:dyDescent="0.15">
      <c r="A6" s="97">
        <v>42440</v>
      </c>
      <c r="B6" s="37">
        <f t="shared" ref="B6:B36" si="0">A6</f>
        <v>42440</v>
      </c>
      <c r="C6" s="41"/>
      <c r="D6" s="71" t="s">
        <v>11</v>
      </c>
      <c r="E6" s="40" t="s">
        <v>11</v>
      </c>
      <c r="F6" s="120"/>
      <c r="G6" s="110"/>
      <c r="H6" s="69" t="s">
        <v>3</v>
      </c>
      <c r="I6" s="40"/>
      <c r="J6" s="68">
        <f>A6</f>
        <v>42440</v>
      </c>
      <c r="K6" s="41" t="s">
        <v>3</v>
      </c>
      <c r="L6" s="119"/>
      <c r="M6" s="25" t="s">
        <v>3</v>
      </c>
      <c r="N6" s="205"/>
      <c r="O6" s="43"/>
    </row>
    <row r="7" spans="1:18" s="194" customFormat="1" ht="15.6" customHeight="1" x14ac:dyDescent="0.15">
      <c r="A7" s="68">
        <f t="shared" ref="A7:A36" si="1">A6+1</f>
        <v>42441</v>
      </c>
      <c r="B7" s="37">
        <f t="shared" si="0"/>
        <v>42441</v>
      </c>
      <c r="C7" s="41" t="s">
        <v>9</v>
      </c>
      <c r="D7" s="93" t="s">
        <v>11</v>
      </c>
      <c r="E7" s="40" t="s">
        <v>11</v>
      </c>
      <c r="F7" s="118"/>
      <c r="G7" s="110"/>
      <c r="H7" s="69" t="s">
        <v>3</v>
      </c>
      <c r="I7" s="40"/>
      <c r="J7" s="68">
        <f t="shared" ref="J7:J36" si="2">J6+1</f>
        <v>42441</v>
      </c>
      <c r="K7" s="41" t="s">
        <v>3</v>
      </c>
      <c r="L7" s="42"/>
      <c r="M7" s="39" t="s">
        <v>3</v>
      </c>
      <c r="N7" s="206"/>
      <c r="O7" s="43"/>
    </row>
    <row r="8" spans="1:18" s="194" customFormat="1" ht="15.6" customHeight="1" x14ac:dyDescent="0.15">
      <c r="A8" s="68">
        <f t="shared" si="1"/>
        <v>42442</v>
      </c>
      <c r="B8" s="37">
        <f t="shared" si="0"/>
        <v>42442</v>
      </c>
      <c r="C8" s="41" t="s">
        <v>9</v>
      </c>
      <c r="D8" s="93" t="s">
        <v>11</v>
      </c>
      <c r="E8" s="40" t="s">
        <v>11</v>
      </c>
      <c r="F8" s="118"/>
      <c r="G8" s="85"/>
      <c r="H8" s="203" t="s">
        <v>3</v>
      </c>
      <c r="I8" s="40"/>
      <c r="J8" s="68">
        <f t="shared" si="2"/>
        <v>42442</v>
      </c>
      <c r="K8" s="41" t="s">
        <v>3</v>
      </c>
      <c r="L8" s="42"/>
      <c r="M8" s="39" t="s">
        <v>3</v>
      </c>
      <c r="N8" s="206"/>
      <c r="O8" s="43"/>
    </row>
    <row r="9" spans="1:18" s="194" customFormat="1" ht="15.6" customHeight="1" x14ac:dyDescent="0.15">
      <c r="A9" s="68">
        <f t="shared" si="1"/>
        <v>42443</v>
      </c>
      <c r="B9" s="37">
        <f t="shared" si="0"/>
        <v>42443</v>
      </c>
      <c r="C9" s="41" t="s">
        <v>70</v>
      </c>
      <c r="D9" s="71" t="s">
        <v>11</v>
      </c>
      <c r="E9" s="40" t="s">
        <v>11</v>
      </c>
      <c r="F9" s="213" t="s">
        <v>71</v>
      </c>
      <c r="G9" s="70"/>
      <c r="H9" s="203" t="s">
        <v>3</v>
      </c>
      <c r="I9" s="40"/>
      <c r="J9" s="68">
        <f t="shared" si="2"/>
        <v>42443</v>
      </c>
      <c r="K9" s="41" t="s">
        <v>3</v>
      </c>
      <c r="L9" s="42"/>
      <c r="M9" s="39" t="s">
        <v>3</v>
      </c>
      <c r="N9" s="206"/>
      <c r="O9" s="43"/>
    </row>
    <row r="10" spans="1:18" s="194" customFormat="1" ht="15.6" customHeight="1" x14ac:dyDescent="0.15">
      <c r="A10" s="73">
        <f t="shared" si="1"/>
        <v>42444</v>
      </c>
      <c r="B10" s="78">
        <f t="shared" si="0"/>
        <v>42444</v>
      </c>
      <c r="C10" s="95"/>
      <c r="D10" s="210" t="s">
        <v>65</v>
      </c>
      <c r="E10" s="74" t="s">
        <v>11</v>
      </c>
      <c r="F10" s="215" t="s">
        <v>71</v>
      </c>
      <c r="G10" s="109"/>
      <c r="H10" s="76" t="s">
        <v>3</v>
      </c>
      <c r="I10" s="74"/>
      <c r="J10" s="65">
        <f t="shared" si="2"/>
        <v>42444</v>
      </c>
      <c r="K10" s="112" t="s">
        <v>3</v>
      </c>
      <c r="L10" s="113"/>
      <c r="M10" s="75" t="s">
        <v>3</v>
      </c>
      <c r="N10" s="195"/>
      <c r="O10" s="91"/>
    </row>
    <row r="11" spans="1:18" s="194" customFormat="1" ht="15.6" customHeight="1" x14ac:dyDescent="0.15">
      <c r="A11" s="94">
        <f t="shared" si="1"/>
        <v>42445</v>
      </c>
      <c r="B11" s="33">
        <f t="shared" si="0"/>
        <v>42445</v>
      </c>
      <c r="C11" s="34"/>
      <c r="D11" s="71" t="s">
        <v>11</v>
      </c>
      <c r="E11" s="40" t="s">
        <v>11</v>
      </c>
      <c r="F11" s="111"/>
      <c r="G11" s="110"/>
      <c r="H11" s="87" t="s">
        <v>20</v>
      </c>
      <c r="I11" s="40"/>
      <c r="J11" s="68">
        <f t="shared" si="2"/>
        <v>42445</v>
      </c>
      <c r="K11" s="214">
        <v>3.125E-2</v>
      </c>
      <c r="L11" s="42" t="s">
        <v>71</v>
      </c>
      <c r="M11" s="209">
        <v>3.8194444444444441E-2</v>
      </c>
      <c r="N11" s="206" t="s">
        <v>71</v>
      </c>
      <c r="O11" s="43" t="s">
        <v>64</v>
      </c>
    </row>
    <row r="12" spans="1:18" s="194" customFormat="1" ht="15.6" customHeight="1" x14ac:dyDescent="0.15">
      <c r="A12" s="68">
        <f t="shared" si="1"/>
        <v>42446</v>
      </c>
      <c r="B12" s="37">
        <f t="shared" si="0"/>
        <v>42446</v>
      </c>
      <c r="C12" s="38"/>
      <c r="D12" s="71" t="s">
        <v>91</v>
      </c>
      <c r="E12" s="40" t="s">
        <v>11</v>
      </c>
      <c r="F12" s="212" t="s">
        <v>62</v>
      </c>
      <c r="G12" s="110"/>
      <c r="H12" s="69" t="s">
        <v>3</v>
      </c>
      <c r="I12" s="40"/>
      <c r="J12" s="68">
        <f t="shared" si="2"/>
        <v>42446</v>
      </c>
      <c r="K12" s="41" t="s">
        <v>3</v>
      </c>
      <c r="L12" s="42"/>
      <c r="M12" s="39" t="s">
        <v>3</v>
      </c>
      <c r="N12" s="206"/>
      <c r="O12" s="43"/>
    </row>
    <row r="13" spans="1:18" s="194" customFormat="1" ht="15.6" customHeight="1" x14ac:dyDescent="0.15">
      <c r="A13" s="68">
        <f t="shared" si="1"/>
        <v>42447</v>
      </c>
      <c r="B13" s="37">
        <f t="shared" si="0"/>
        <v>42447</v>
      </c>
      <c r="C13" s="38"/>
      <c r="D13" s="93" t="s">
        <v>11</v>
      </c>
      <c r="E13" s="40" t="s">
        <v>11</v>
      </c>
      <c r="F13" s="111"/>
      <c r="G13" s="110"/>
      <c r="H13" s="69" t="s">
        <v>3</v>
      </c>
      <c r="I13" s="40"/>
      <c r="J13" s="68">
        <f t="shared" si="2"/>
        <v>42447</v>
      </c>
      <c r="K13" s="41" t="s">
        <v>3</v>
      </c>
      <c r="L13" s="42"/>
      <c r="M13" s="39" t="s">
        <v>3</v>
      </c>
      <c r="N13" s="206"/>
      <c r="O13" s="43"/>
    </row>
    <row r="14" spans="1:18" s="194" customFormat="1" ht="15.6" customHeight="1" x14ac:dyDescent="0.15">
      <c r="A14" s="68">
        <f t="shared" si="1"/>
        <v>42448</v>
      </c>
      <c r="B14" s="37">
        <f t="shared" si="0"/>
        <v>42448</v>
      </c>
      <c r="C14" s="38" t="s">
        <v>9</v>
      </c>
      <c r="D14" s="71" t="s">
        <v>11</v>
      </c>
      <c r="E14" s="40" t="s">
        <v>11</v>
      </c>
      <c r="F14" s="111"/>
      <c r="G14" s="110"/>
      <c r="H14" s="69" t="s">
        <v>3</v>
      </c>
      <c r="I14" s="40"/>
      <c r="J14" s="68">
        <f t="shared" si="2"/>
        <v>42448</v>
      </c>
      <c r="K14" s="41" t="s">
        <v>3</v>
      </c>
      <c r="L14" s="42"/>
      <c r="M14" s="39" t="s">
        <v>3</v>
      </c>
      <c r="N14" s="206"/>
      <c r="O14" s="43"/>
    </row>
    <row r="15" spans="1:18" s="194" customFormat="1" ht="15.6" customHeight="1" x14ac:dyDescent="0.15">
      <c r="A15" s="65">
        <f t="shared" si="1"/>
        <v>42449</v>
      </c>
      <c r="B15" s="92">
        <f t="shared" si="0"/>
        <v>42449</v>
      </c>
      <c r="C15" s="245" t="s">
        <v>9</v>
      </c>
      <c r="D15" s="77" t="s">
        <v>11</v>
      </c>
      <c r="E15" s="74" t="s">
        <v>11</v>
      </c>
      <c r="F15" s="114"/>
      <c r="G15" s="109"/>
      <c r="H15" s="90" t="s">
        <v>20</v>
      </c>
      <c r="I15" s="74"/>
      <c r="J15" s="65">
        <f t="shared" si="2"/>
        <v>42449</v>
      </c>
      <c r="K15" s="112" t="s">
        <v>3</v>
      </c>
      <c r="L15" s="113"/>
      <c r="M15" s="75" t="s">
        <v>3</v>
      </c>
      <c r="N15" s="195"/>
      <c r="O15" s="91"/>
    </row>
    <row r="16" spans="1:18" s="194" customFormat="1" ht="15.6" customHeight="1" x14ac:dyDescent="0.15">
      <c r="A16" s="68">
        <f t="shared" si="1"/>
        <v>42450</v>
      </c>
      <c r="B16" s="37">
        <f t="shared" si="0"/>
        <v>42450</v>
      </c>
      <c r="C16" s="71"/>
      <c r="D16" s="71" t="s">
        <v>11</v>
      </c>
      <c r="E16" s="40" t="s">
        <v>11</v>
      </c>
      <c r="F16" s="111"/>
      <c r="G16" s="110"/>
      <c r="H16" s="87" t="s">
        <v>20</v>
      </c>
      <c r="I16" s="40"/>
      <c r="J16" s="68">
        <f t="shared" si="2"/>
        <v>42450</v>
      </c>
      <c r="K16" s="41" t="s">
        <v>3</v>
      </c>
      <c r="L16" s="42"/>
      <c r="M16" s="39" t="s">
        <v>3</v>
      </c>
      <c r="N16" s="206"/>
      <c r="O16" s="43"/>
    </row>
    <row r="17" spans="1:15" s="194" customFormat="1" ht="15.6" customHeight="1" x14ac:dyDescent="0.15">
      <c r="A17" s="68">
        <f t="shared" si="1"/>
        <v>42451</v>
      </c>
      <c r="B17" s="37">
        <f t="shared" si="0"/>
        <v>42451</v>
      </c>
      <c r="C17" s="41"/>
      <c r="D17" s="71" t="s">
        <v>11</v>
      </c>
      <c r="E17" s="40" t="s">
        <v>11</v>
      </c>
      <c r="F17" s="111"/>
      <c r="G17" s="110"/>
      <c r="H17" s="69" t="s">
        <v>3</v>
      </c>
      <c r="I17" s="40"/>
      <c r="J17" s="68">
        <f t="shared" si="2"/>
        <v>42451</v>
      </c>
      <c r="K17" s="41" t="s">
        <v>3</v>
      </c>
      <c r="L17" s="42"/>
      <c r="M17" s="39" t="s">
        <v>3</v>
      </c>
      <c r="N17" s="206"/>
      <c r="O17" s="43"/>
    </row>
    <row r="18" spans="1:15" s="194" customFormat="1" ht="15.6" customHeight="1" x14ac:dyDescent="0.15">
      <c r="A18" s="68">
        <f t="shared" si="1"/>
        <v>42452</v>
      </c>
      <c r="B18" s="37">
        <f t="shared" si="0"/>
        <v>42452</v>
      </c>
      <c r="C18" s="41"/>
      <c r="D18" s="71" t="s">
        <v>11</v>
      </c>
      <c r="E18" s="40" t="s">
        <v>11</v>
      </c>
      <c r="F18" s="111"/>
      <c r="G18" s="110"/>
      <c r="H18" s="69" t="s">
        <v>3</v>
      </c>
      <c r="I18" s="40"/>
      <c r="J18" s="68">
        <f t="shared" si="2"/>
        <v>42452</v>
      </c>
      <c r="K18" s="41" t="s">
        <v>3</v>
      </c>
      <c r="L18" s="42"/>
      <c r="M18" s="39" t="s">
        <v>3</v>
      </c>
      <c r="N18" s="206"/>
      <c r="O18" s="43"/>
    </row>
    <row r="19" spans="1:15" s="194" customFormat="1" ht="15.6" customHeight="1" x14ac:dyDescent="0.15">
      <c r="A19" s="68">
        <f t="shared" si="1"/>
        <v>42453</v>
      </c>
      <c r="B19" s="37">
        <f t="shared" si="0"/>
        <v>42453</v>
      </c>
      <c r="C19" s="71"/>
      <c r="D19" s="71" t="s">
        <v>11</v>
      </c>
      <c r="E19" s="40" t="s">
        <v>11</v>
      </c>
      <c r="F19" s="111"/>
      <c r="G19" s="110"/>
      <c r="H19" s="87" t="s">
        <v>20</v>
      </c>
      <c r="I19" s="40"/>
      <c r="J19" s="68">
        <f t="shared" si="2"/>
        <v>42453</v>
      </c>
      <c r="K19" s="41" t="s">
        <v>3</v>
      </c>
      <c r="L19" s="42"/>
      <c r="M19" s="39" t="s">
        <v>3</v>
      </c>
      <c r="N19" s="206"/>
      <c r="O19" s="43"/>
    </row>
    <row r="20" spans="1:15" s="194" customFormat="1" ht="15.6" customHeight="1" x14ac:dyDescent="0.15">
      <c r="A20" s="65">
        <f t="shared" si="1"/>
        <v>42454</v>
      </c>
      <c r="B20" s="64">
        <f t="shared" si="0"/>
        <v>42454</v>
      </c>
      <c r="C20" s="77"/>
      <c r="D20" s="77" t="s">
        <v>11</v>
      </c>
      <c r="E20" s="74" t="s">
        <v>11</v>
      </c>
      <c r="F20" s="114"/>
      <c r="G20" s="109"/>
      <c r="H20" s="76" t="s">
        <v>3</v>
      </c>
      <c r="I20" s="74"/>
      <c r="J20" s="65">
        <f t="shared" si="2"/>
        <v>42454</v>
      </c>
      <c r="K20" s="112" t="s">
        <v>3</v>
      </c>
      <c r="L20" s="113"/>
      <c r="M20" s="75" t="s">
        <v>3</v>
      </c>
      <c r="N20" s="195"/>
      <c r="O20" s="91"/>
    </row>
    <row r="21" spans="1:15" s="194" customFormat="1" ht="15.6" customHeight="1" x14ac:dyDescent="0.15">
      <c r="A21" s="73">
        <f t="shared" si="1"/>
        <v>42455</v>
      </c>
      <c r="B21" s="37">
        <f t="shared" si="0"/>
        <v>42455</v>
      </c>
      <c r="C21" s="71"/>
      <c r="D21" s="71" t="s">
        <v>11</v>
      </c>
      <c r="E21" s="40" t="s">
        <v>11</v>
      </c>
      <c r="F21" s="111"/>
      <c r="G21" s="110"/>
      <c r="H21" s="69" t="s">
        <v>3</v>
      </c>
      <c r="I21" s="40"/>
      <c r="J21" s="68">
        <f t="shared" si="2"/>
        <v>42455</v>
      </c>
      <c r="K21" s="41" t="s">
        <v>3</v>
      </c>
      <c r="L21" s="42"/>
      <c r="M21" s="39" t="s">
        <v>3</v>
      </c>
      <c r="N21" s="206"/>
      <c r="O21" s="43"/>
    </row>
    <row r="22" spans="1:15" s="194" customFormat="1" ht="15.6" customHeight="1" x14ac:dyDescent="0.15">
      <c r="A22" s="35">
        <f t="shared" si="1"/>
        <v>42456</v>
      </c>
      <c r="B22" s="37">
        <f t="shared" si="0"/>
        <v>42456</v>
      </c>
      <c r="C22" s="41"/>
      <c r="D22" s="71" t="s">
        <v>11</v>
      </c>
      <c r="E22" s="40" t="s">
        <v>11</v>
      </c>
      <c r="F22" s="111"/>
      <c r="G22" s="110"/>
      <c r="H22" s="69" t="s">
        <v>3</v>
      </c>
      <c r="I22" s="40"/>
      <c r="J22" s="68">
        <f t="shared" si="2"/>
        <v>42456</v>
      </c>
      <c r="K22" s="41" t="s">
        <v>3</v>
      </c>
      <c r="L22" s="42"/>
      <c r="M22" s="39" t="s">
        <v>3</v>
      </c>
      <c r="N22" s="206"/>
      <c r="O22" s="43"/>
    </row>
    <row r="23" spans="1:15" s="194" customFormat="1" ht="15.6" customHeight="1" x14ac:dyDescent="0.15">
      <c r="A23" s="35">
        <f t="shared" si="1"/>
        <v>42457</v>
      </c>
      <c r="B23" s="37">
        <f t="shared" si="0"/>
        <v>42457</v>
      </c>
      <c r="C23" s="41"/>
      <c r="D23" s="71" t="s">
        <v>11</v>
      </c>
      <c r="E23" s="40" t="s">
        <v>11</v>
      </c>
      <c r="F23" s="111"/>
      <c r="G23" s="110"/>
      <c r="H23" s="69" t="s">
        <v>3</v>
      </c>
      <c r="I23" s="40"/>
      <c r="J23" s="68">
        <f t="shared" si="2"/>
        <v>42457</v>
      </c>
      <c r="K23" s="41" t="s">
        <v>3</v>
      </c>
      <c r="L23" s="42"/>
      <c r="M23" s="39" t="s">
        <v>3</v>
      </c>
      <c r="N23" s="206"/>
      <c r="O23" s="43"/>
    </row>
    <row r="24" spans="1:15" s="194" customFormat="1" ht="15.6" customHeight="1" x14ac:dyDescent="0.15">
      <c r="A24" s="35">
        <f t="shared" si="1"/>
        <v>42458</v>
      </c>
      <c r="B24" s="37">
        <f t="shared" si="0"/>
        <v>42458</v>
      </c>
      <c r="C24" s="41"/>
      <c r="D24" s="71" t="s">
        <v>11</v>
      </c>
      <c r="E24" s="40" t="s">
        <v>11</v>
      </c>
      <c r="F24" s="111"/>
      <c r="G24" s="110"/>
      <c r="H24" s="69" t="s">
        <v>3</v>
      </c>
      <c r="I24" s="40"/>
      <c r="J24" s="68">
        <f t="shared" si="2"/>
        <v>42458</v>
      </c>
      <c r="K24" s="41" t="s">
        <v>20</v>
      </c>
      <c r="L24" s="42"/>
      <c r="M24" s="39" t="s">
        <v>3</v>
      </c>
      <c r="N24" s="206"/>
      <c r="O24" s="43"/>
    </row>
    <row r="25" spans="1:15" s="194" customFormat="1" ht="15.6" customHeight="1" x14ac:dyDescent="0.15">
      <c r="A25" s="35">
        <f t="shared" si="1"/>
        <v>42459</v>
      </c>
      <c r="B25" s="37">
        <f t="shared" si="0"/>
        <v>42459</v>
      </c>
      <c r="C25" s="198"/>
      <c r="D25" s="16" t="s">
        <v>11</v>
      </c>
      <c r="E25" s="30" t="s">
        <v>11</v>
      </c>
      <c r="F25" s="118"/>
      <c r="G25" s="117"/>
      <c r="H25" s="84" t="s">
        <v>3</v>
      </c>
      <c r="I25" s="30"/>
      <c r="J25" s="83">
        <f t="shared" si="2"/>
        <v>42459</v>
      </c>
      <c r="K25" s="198" t="s">
        <v>3</v>
      </c>
      <c r="L25" s="31"/>
      <c r="M25" s="26" t="s">
        <v>3</v>
      </c>
      <c r="N25" s="207"/>
      <c r="O25" s="32"/>
    </row>
    <row r="26" spans="1:15" s="27" customFormat="1" ht="15.6" customHeight="1" x14ac:dyDescent="0.15">
      <c r="A26" s="65">
        <f t="shared" si="1"/>
        <v>42460</v>
      </c>
      <c r="B26" s="64">
        <f t="shared" si="0"/>
        <v>42460</v>
      </c>
      <c r="C26" s="47"/>
      <c r="D26" s="47" t="s">
        <v>11</v>
      </c>
      <c r="E26" s="48" t="s">
        <v>11</v>
      </c>
      <c r="F26" s="116"/>
      <c r="G26" s="115"/>
      <c r="H26" s="76" t="s">
        <v>3</v>
      </c>
      <c r="I26" s="48"/>
      <c r="J26" s="29">
        <f t="shared" si="2"/>
        <v>42460</v>
      </c>
      <c r="K26" s="201" t="s">
        <v>3</v>
      </c>
      <c r="L26" s="49"/>
      <c r="M26" s="81" t="s">
        <v>3</v>
      </c>
      <c r="N26" s="208"/>
      <c r="O26" s="50"/>
    </row>
    <row r="27" spans="1:15" s="194" customFormat="1" ht="15.6" customHeight="1" x14ac:dyDescent="0.15">
      <c r="A27" s="73">
        <f t="shared" si="1"/>
        <v>42461</v>
      </c>
      <c r="B27" s="37">
        <f t="shared" si="0"/>
        <v>42461</v>
      </c>
      <c r="C27" s="71"/>
      <c r="D27" s="71" t="s">
        <v>11</v>
      </c>
      <c r="E27" s="40" t="s">
        <v>11</v>
      </c>
      <c r="F27" s="111"/>
      <c r="G27" s="110"/>
      <c r="H27" s="69" t="s">
        <v>3</v>
      </c>
      <c r="I27" s="40"/>
      <c r="J27" s="68">
        <f t="shared" si="2"/>
        <v>42461</v>
      </c>
      <c r="K27" s="41" t="s">
        <v>3</v>
      </c>
      <c r="L27" s="42"/>
      <c r="M27" s="39" t="s">
        <v>3</v>
      </c>
      <c r="N27" s="206"/>
      <c r="O27" s="43"/>
    </row>
    <row r="28" spans="1:15" s="194" customFormat="1" ht="15.6" customHeight="1" x14ac:dyDescent="0.15">
      <c r="A28" s="35">
        <f t="shared" si="1"/>
        <v>42462</v>
      </c>
      <c r="B28" s="37">
        <f t="shared" si="0"/>
        <v>42462</v>
      </c>
      <c r="C28" s="71"/>
      <c r="D28" s="71" t="s">
        <v>11</v>
      </c>
      <c r="E28" s="40" t="s">
        <v>11</v>
      </c>
      <c r="F28" s="111"/>
      <c r="G28" s="110"/>
      <c r="H28" s="69" t="s">
        <v>3</v>
      </c>
      <c r="I28" s="40"/>
      <c r="J28" s="68">
        <f t="shared" si="2"/>
        <v>42462</v>
      </c>
      <c r="K28" s="41" t="s">
        <v>3</v>
      </c>
      <c r="L28" s="42"/>
      <c r="M28" s="39" t="s">
        <v>3</v>
      </c>
      <c r="N28" s="206"/>
      <c r="O28" s="43"/>
    </row>
    <row r="29" spans="1:15" s="194" customFormat="1" ht="15.6" customHeight="1" x14ac:dyDescent="0.15">
      <c r="A29" s="35">
        <f t="shared" si="1"/>
        <v>42463</v>
      </c>
      <c r="B29" s="37">
        <f t="shared" si="0"/>
        <v>42463</v>
      </c>
      <c r="C29" s="41"/>
      <c r="D29" s="71" t="s">
        <v>11</v>
      </c>
      <c r="E29" s="40" t="s">
        <v>11</v>
      </c>
      <c r="F29" s="111"/>
      <c r="G29" s="110"/>
      <c r="H29" s="69" t="s">
        <v>3</v>
      </c>
      <c r="I29" s="40"/>
      <c r="J29" s="68">
        <f t="shared" si="2"/>
        <v>42463</v>
      </c>
      <c r="K29" s="41" t="s">
        <v>3</v>
      </c>
      <c r="L29" s="42"/>
      <c r="M29" s="39" t="s">
        <v>3</v>
      </c>
      <c r="N29" s="206"/>
      <c r="O29" s="43"/>
    </row>
    <row r="30" spans="1:15" s="194" customFormat="1" ht="15.6" customHeight="1" x14ac:dyDescent="0.15">
      <c r="A30" s="35">
        <f t="shared" si="1"/>
        <v>42464</v>
      </c>
      <c r="B30" s="37">
        <f t="shared" si="0"/>
        <v>42464</v>
      </c>
      <c r="C30" s="71"/>
      <c r="D30" s="71" t="s">
        <v>11</v>
      </c>
      <c r="E30" s="40" t="s">
        <v>11</v>
      </c>
      <c r="F30" s="111"/>
      <c r="G30" s="110"/>
      <c r="H30" s="69" t="s">
        <v>3</v>
      </c>
      <c r="I30" s="40"/>
      <c r="J30" s="68">
        <f t="shared" si="2"/>
        <v>42464</v>
      </c>
      <c r="K30" s="41" t="s">
        <v>3</v>
      </c>
      <c r="L30" s="42"/>
      <c r="M30" s="39" t="s">
        <v>3</v>
      </c>
      <c r="N30" s="206"/>
      <c r="O30" s="43"/>
    </row>
    <row r="31" spans="1:15" s="194" customFormat="1" ht="15.6" customHeight="1" x14ac:dyDescent="0.15">
      <c r="A31" s="65">
        <f t="shared" si="1"/>
        <v>42465</v>
      </c>
      <c r="B31" s="64">
        <f t="shared" si="0"/>
        <v>42465</v>
      </c>
      <c r="C31" s="77"/>
      <c r="D31" s="77" t="s">
        <v>11</v>
      </c>
      <c r="E31" s="74" t="s">
        <v>11</v>
      </c>
      <c r="F31" s="114"/>
      <c r="G31" s="109"/>
      <c r="H31" s="76" t="s">
        <v>3</v>
      </c>
      <c r="I31" s="74"/>
      <c r="J31" s="65">
        <f t="shared" si="2"/>
        <v>42465</v>
      </c>
      <c r="K31" s="112" t="s">
        <v>3</v>
      </c>
      <c r="L31" s="113"/>
      <c r="M31" s="75" t="s">
        <v>3</v>
      </c>
      <c r="N31" s="195"/>
      <c r="O31" s="91"/>
    </row>
    <row r="32" spans="1:15" s="194" customFormat="1" ht="15.6" customHeight="1" x14ac:dyDescent="0.15">
      <c r="A32" s="73">
        <f t="shared" si="1"/>
        <v>42466</v>
      </c>
      <c r="B32" s="37">
        <f t="shared" si="0"/>
        <v>42466</v>
      </c>
      <c r="C32" s="71"/>
      <c r="D32" s="71" t="s">
        <v>11</v>
      </c>
      <c r="E32" s="40" t="s">
        <v>11</v>
      </c>
      <c r="F32" s="111"/>
      <c r="G32" s="110"/>
      <c r="H32" s="69" t="s">
        <v>3</v>
      </c>
      <c r="I32" s="40"/>
      <c r="J32" s="68">
        <f t="shared" si="2"/>
        <v>42466</v>
      </c>
      <c r="K32" s="41" t="s">
        <v>3</v>
      </c>
      <c r="L32" s="42"/>
      <c r="M32" s="39" t="s">
        <v>3</v>
      </c>
      <c r="N32" s="206"/>
      <c r="O32" s="43"/>
    </row>
    <row r="33" spans="1:15" s="194" customFormat="1" ht="15.6" customHeight="1" x14ac:dyDescent="0.15">
      <c r="A33" s="35">
        <f t="shared" si="1"/>
        <v>42467</v>
      </c>
      <c r="B33" s="37">
        <f t="shared" si="0"/>
        <v>42467</v>
      </c>
      <c r="C33" s="41"/>
      <c r="D33" s="71" t="s">
        <v>11</v>
      </c>
      <c r="E33" s="40" t="s">
        <v>11</v>
      </c>
      <c r="F33" s="111"/>
      <c r="G33" s="110"/>
      <c r="H33" s="69" t="s">
        <v>3</v>
      </c>
      <c r="I33" s="40"/>
      <c r="J33" s="68">
        <f t="shared" si="2"/>
        <v>42467</v>
      </c>
      <c r="K33" s="41" t="s">
        <v>3</v>
      </c>
      <c r="L33" s="42"/>
      <c r="M33" s="39" t="s">
        <v>3</v>
      </c>
      <c r="N33" s="206"/>
      <c r="O33" s="43"/>
    </row>
    <row r="34" spans="1:15" s="194" customFormat="1" ht="15.6" customHeight="1" x14ac:dyDescent="0.15">
      <c r="A34" s="35">
        <f t="shared" si="1"/>
        <v>42468</v>
      </c>
      <c r="B34" s="37">
        <f t="shared" si="0"/>
        <v>42468</v>
      </c>
      <c r="C34" s="41"/>
      <c r="D34" s="71" t="s">
        <v>11</v>
      </c>
      <c r="E34" s="40" t="s">
        <v>11</v>
      </c>
      <c r="F34" s="111"/>
      <c r="G34" s="110"/>
      <c r="H34" s="69" t="s">
        <v>3</v>
      </c>
      <c r="I34" s="40"/>
      <c r="J34" s="68">
        <f t="shared" si="2"/>
        <v>42468</v>
      </c>
      <c r="K34" s="41" t="s">
        <v>3</v>
      </c>
      <c r="L34" s="42"/>
      <c r="M34" s="39" t="s">
        <v>3</v>
      </c>
      <c r="N34" s="206"/>
      <c r="O34" s="43"/>
    </row>
    <row r="35" spans="1:15" s="194" customFormat="1" ht="15.6" customHeight="1" x14ac:dyDescent="0.15">
      <c r="A35" s="35">
        <f t="shared" si="1"/>
        <v>42469</v>
      </c>
      <c r="B35" s="37">
        <f t="shared" si="0"/>
        <v>42469</v>
      </c>
      <c r="C35" s="41"/>
      <c r="D35" s="71" t="s">
        <v>11</v>
      </c>
      <c r="E35" s="40" t="s">
        <v>11</v>
      </c>
      <c r="F35" s="111"/>
      <c r="G35" s="110"/>
      <c r="H35" s="69" t="s">
        <v>3</v>
      </c>
      <c r="I35" s="40"/>
      <c r="J35" s="68">
        <f t="shared" si="2"/>
        <v>42469</v>
      </c>
      <c r="K35" s="41" t="s">
        <v>3</v>
      </c>
      <c r="L35" s="42"/>
      <c r="M35" s="39" t="s">
        <v>3</v>
      </c>
      <c r="N35" s="206"/>
      <c r="O35" s="43"/>
    </row>
    <row r="36" spans="1:15" s="194" customFormat="1" ht="15.6" customHeight="1" x14ac:dyDescent="0.15">
      <c r="A36" s="65">
        <f t="shared" si="1"/>
        <v>42470</v>
      </c>
      <c r="B36" s="64">
        <f t="shared" si="0"/>
        <v>42470</v>
      </c>
      <c r="C36" s="11"/>
      <c r="D36" s="11" t="s">
        <v>11</v>
      </c>
      <c r="E36" s="44" t="s">
        <v>11</v>
      </c>
      <c r="F36" s="12"/>
      <c r="G36" s="109"/>
      <c r="H36" s="62" t="s">
        <v>3</v>
      </c>
      <c r="I36" s="12"/>
      <c r="J36" s="61">
        <f t="shared" si="2"/>
        <v>42470</v>
      </c>
      <c r="K36" s="199" t="s">
        <v>3</v>
      </c>
      <c r="L36" s="13"/>
      <c r="M36" s="14" t="s">
        <v>3</v>
      </c>
      <c r="N36" s="200"/>
      <c r="O36" s="91"/>
    </row>
    <row r="37" spans="1:15" s="194" customFormat="1" ht="26.25" customHeight="1" x14ac:dyDescent="0.15">
      <c r="A37" s="19"/>
      <c r="B37" s="6"/>
      <c r="C37" s="6"/>
      <c r="D37" s="6"/>
      <c r="E37" s="6"/>
      <c r="F37" s="6"/>
      <c r="G37" s="21"/>
      <c r="H37" s="6"/>
      <c r="I37" s="6"/>
      <c r="J37" s="6"/>
      <c r="K37" s="7"/>
      <c r="L37" s="7"/>
      <c r="M37" s="7"/>
      <c r="N37" s="7"/>
      <c r="O37" s="6"/>
    </row>
    <row r="38" spans="1:15" s="194" customFormat="1" ht="22.5" customHeight="1" x14ac:dyDescent="0.15">
      <c r="A38" s="28"/>
      <c r="B38" s="6"/>
      <c r="C38" s="6"/>
      <c r="D38" s="6"/>
      <c r="E38" s="6"/>
      <c r="F38" s="6"/>
      <c r="G38" s="21"/>
      <c r="H38" s="6"/>
      <c r="I38" s="6"/>
      <c r="J38" s="6"/>
      <c r="K38" s="7"/>
      <c r="L38" s="7"/>
      <c r="M38" s="7"/>
      <c r="N38" s="7"/>
      <c r="O38" s="6"/>
    </row>
    <row r="39" spans="1:15" s="4" customFormat="1" ht="9" customHeight="1" x14ac:dyDescent="0.2">
      <c r="A39" s="56"/>
      <c r="C39" s="196"/>
      <c r="D39" s="15"/>
      <c r="G39" s="22"/>
      <c r="M39" s="5"/>
      <c r="N39" s="5"/>
      <c r="O39" s="2"/>
    </row>
    <row r="40" spans="1:15" s="4" customFormat="1" ht="12" customHeight="1" x14ac:dyDescent="0.2">
      <c r="A40" s="56"/>
      <c r="C40" s="196"/>
      <c r="D40" s="15"/>
      <c r="G40" s="22"/>
      <c r="M40" s="5"/>
      <c r="N40" s="5"/>
      <c r="O40" s="2"/>
    </row>
    <row r="41" spans="1:15" s="194" customFormat="1" ht="15" customHeight="1" x14ac:dyDescent="0.15">
      <c r="A41" s="15" t="s">
        <v>42</v>
      </c>
      <c r="C41" s="1"/>
      <c r="D41" s="1"/>
      <c r="G41" s="20"/>
    </row>
    <row r="42" spans="1:15" s="194" customFormat="1" ht="15" customHeight="1" x14ac:dyDescent="0.15">
      <c r="A42" s="124" t="s">
        <v>43</v>
      </c>
      <c r="C42" s="1"/>
      <c r="D42" s="1"/>
      <c r="G42" s="20"/>
    </row>
    <row r="43" spans="1:15" x14ac:dyDescent="0.15">
      <c r="A43" s="124" t="s">
        <v>83</v>
      </c>
      <c r="G43"/>
    </row>
    <row r="44" spans="1:15" ht="9.75" customHeight="1" x14ac:dyDescent="0.15">
      <c r="A44" s="18"/>
      <c r="G44"/>
    </row>
    <row r="45" spans="1:15" x14ac:dyDescent="0.15">
      <c r="A45" s="123" t="s">
        <v>49</v>
      </c>
      <c r="B45" s="123"/>
      <c r="C45" s="123"/>
      <c r="D45" s="123"/>
      <c r="E45" s="123"/>
      <c r="F45" s="123"/>
      <c r="G45" s="123"/>
    </row>
    <row r="50" spans="1:15" s="4" customFormat="1" ht="15" customHeight="1" x14ac:dyDescent="0.2">
      <c r="A50" s="56"/>
      <c r="C50" s="196"/>
      <c r="D50" s="15"/>
      <c r="G50" s="22"/>
      <c r="M50" s="5"/>
      <c r="N50" s="5"/>
      <c r="O50" s="2"/>
    </row>
    <row r="51" spans="1:15" s="194" customFormat="1" ht="15" customHeight="1" x14ac:dyDescent="0.15">
      <c r="A51" s="55"/>
      <c r="C51" s="1"/>
      <c r="D51" s="1"/>
      <c r="G51" s="20"/>
    </row>
    <row r="52" spans="1:15" s="194" customFormat="1" ht="15" customHeight="1" x14ac:dyDescent="0.15">
      <c r="A52" s="18"/>
      <c r="C52" s="1"/>
      <c r="D52" s="1"/>
      <c r="G52" s="20"/>
    </row>
    <row r="53" spans="1:15" x14ac:dyDescent="0.15">
      <c r="G53"/>
    </row>
    <row r="54" spans="1:15" x14ac:dyDescent="0.15">
      <c r="G54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9" orientation="landscape" horizontalDpi="300" verticalDpi="300" r:id="rId1"/>
  <headerFooter alignWithMargins="0"/>
  <rowBreaks count="1" manualBreakCount="1">
    <brk id="45" max="1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4"/>
  <sheetViews>
    <sheetView showGridLines="0" zoomScale="85" zoomScaleNormal="85" workbookViewId="0">
      <selection activeCell="K43" sqref="K43"/>
    </sheetView>
  </sheetViews>
  <sheetFormatPr defaultRowHeight="13.5" x14ac:dyDescent="0.15"/>
  <cols>
    <col min="1" max="1" width="3.625" customWidth="1"/>
    <col min="2" max="2" width="5.125" customWidth="1"/>
    <col min="3" max="3" width="7" customWidth="1"/>
    <col min="4" max="5" width="16.125" customWidth="1"/>
    <col min="6" max="6" width="24.875" style="23" customWidth="1"/>
    <col min="7" max="7" width="7.625" customWidth="1"/>
    <col min="8" max="8" width="15.125" customWidth="1"/>
    <col min="9" max="9" width="3.625" customWidth="1"/>
    <col min="10" max="10" width="7.625" bestFit="1" customWidth="1"/>
    <col min="11" max="11" width="23.75" customWidth="1"/>
    <col min="12" max="12" width="2.75" customWidth="1"/>
    <col min="13" max="13" width="30.25" customWidth="1"/>
  </cols>
  <sheetData>
    <row r="1" spans="1:14" ht="17.25" customHeight="1" x14ac:dyDescent="0.15">
      <c r="A1" s="187" t="s">
        <v>85</v>
      </c>
    </row>
    <row r="2" spans="1:14" ht="10.5" customHeight="1" x14ac:dyDescent="0.15"/>
    <row r="3" spans="1:14" s="51" customFormat="1" ht="17.25" x14ac:dyDescent="0.15">
      <c r="A3"/>
      <c r="E3" s="385" t="s">
        <v>61</v>
      </c>
      <c r="F3" s="385"/>
      <c r="G3" s="385"/>
      <c r="H3" s="385"/>
      <c r="I3" s="385"/>
      <c r="N3" s="6"/>
    </row>
    <row r="4" spans="1:14" s="51" customFormat="1" ht="21" customHeight="1" thickBot="1" x14ac:dyDescent="0.2">
      <c r="A4" s="106" t="s">
        <v>157</v>
      </c>
      <c r="E4" s="105" t="s">
        <v>153</v>
      </c>
      <c r="H4" s="105"/>
      <c r="I4" s="105"/>
      <c r="M4" s="6"/>
      <c r="N4" s="6"/>
    </row>
    <row r="5" spans="1:14" s="51" customFormat="1" ht="15" customHeight="1" x14ac:dyDescent="0.15">
      <c r="A5" s="391" t="s">
        <v>2</v>
      </c>
      <c r="B5" s="393" t="s">
        <v>0</v>
      </c>
      <c r="C5" s="394" t="s">
        <v>54</v>
      </c>
      <c r="D5" s="395" t="s">
        <v>80</v>
      </c>
      <c r="E5" s="396"/>
      <c r="F5" s="390" t="s">
        <v>19</v>
      </c>
      <c r="G5" s="297" t="s">
        <v>8</v>
      </c>
      <c r="H5" s="298"/>
      <c r="I5" s="393" t="s">
        <v>2</v>
      </c>
      <c r="J5" s="388" t="s">
        <v>18</v>
      </c>
      <c r="K5" s="389"/>
      <c r="L5" s="98"/>
      <c r="M5" s="386" t="s">
        <v>17</v>
      </c>
      <c r="N5" s="6"/>
    </row>
    <row r="6" spans="1:14" s="51" customFormat="1" ht="14.25" customHeight="1" thickBot="1" x14ac:dyDescent="0.2">
      <c r="A6" s="392"/>
      <c r="B6" s="374"/>
      <c r="C6" s="376"/>
      <c r="D6" s="271" t="s">
        <v>16</v>
      </c>
      <c r="E6" s="272" t="s">
        <v>15</v>
      </c>
      <c r="F6" s="381"/>
      <c r="G6" s="294" t="s">
        <v>6</v>
      </c>
      <c r="H6" s="295" t="s">
        <v>79</v>
      </c>
      <c r="I6" s="374"/>
      <c r="J6" s="296" t="s">
        <v>14</v>
      </c>
      <c r="K6" s="299" t="s">
        <v>13</v>
      </c>
      <c r="L6" s="98"/>
      <c r="M6" s="387"/>
      <c r="N6" s="6"/>
    </row>
    <row r="7" spans="1:14" s="51" customFormat="1" ht="15.6" customHeight="1" x14ac:dyDescent="0.15">
      <c r="A7" s="352">
        <v>42440</v>
      </c>
      <c r="B7" s="350" t="s">
        <v>138</v>
      </c>
      <c r="C7" s="300"/>
      <c r="D7" s="301" t="s">
        <v>155</v>
      </c>
      <c r="E7" s="302" t="s">
        <v>156</v>
      </c>
      <c r="F7" s="303"/>
      <c r="G7" s="304" t="s">
        <v>3</v>
      </c>
      <c r="H7" s="305"/>
      <c r="I7" s="306">
        <v>42440</v>
      </c>
      <c r="J7" s="307" t="s">
        <v>3</v>
      </c>
      <c r="K7" s="308"/>
      <c r="L7" s="66"/>
      <c r="M7" s="66"/>
      <c r="N7" s="6"/>
    </row>
    <row r="8" spans="1:14" s="51" customFormat="1" ht="15.6" customHeight="1" x14ac:dyDescent="0.15">
      <c r="A8" s="348">
        <f t="shared" ref="A8:A37" si="0">A7+1</f>
        <v>42441</v>
      </c>
      <c r="B8" s="351" t="s">
        <v>158</v>
      </c>
      <c r="C8" s="309"/>
      <c r="D8" s="310" t="s">
        <v>155</v>
      </c>
      <c r="E8" s="311" t="s">
        <v>156</v>
      </c>
      <c r="F8" s="312"/>
      <c r="G8" s="313" t="s">
        <v>3</v>
      </c>
      <c r="H8" s="314"/>
      <c r="I8" s="315">
        <v>42441</v>
      </c>
      <c r="J8" s="316" t="s">
        <v>3</v>
      </c>
      <c r="K8" s="317"/>
      <c r="L8" s="66"/>
      <c r="M8" s="66"/>
      <c r="N8" s="6"/>
    </row>
    <row r="9" spans="1:14" s="51" customFormat="1" ht="15.6" customHeight="1" x14ac:dyDescent="0.15">
      <c r="A9" s="348">
        <f t="shared" si="0"/>
        <v>42442</v>
      </c>
      <c r="B9" s="351" t="s">
        <v>105</v>
      </c>
      <c r="C9" s="309" t="s">
        <v>9</v>
      </c>
      <c r="D9" s="318"/>
      <c r="E9" s="311"/>
      <c r="F9" s="312"/>
      <c r="G9" s="313" t="s">
        <v>3</v>
      </c>
      <c r="H9" s="314"/>
      <c r="I9" s="315">
        <v>42442</v>
      </c>
      <c r="J9" s="316" t="s">
        <v>3</v>
      </c>
      <c r="K9" s="317"/>
      <c r="L9" s="66"/>
      <c r="M9" s="66"/>
      <c r="N9" s="6"/>
    </row>
    <row r="10" spans="1:14" s="51" customFormat="1" ht="15.6" customHeight="1" x14ac:dyDescent="0.15">
      <c r="A10" s="348">
        <f t="shared" si="0"/>
        <v>42443</v>
      </c>
      <c r="B10" s="351" t="s">
        <v>106</v>
      </c>
      <c r="C10" s="309" t="s">
        <v>9</v>
      </c>
      <c r="D10" s="318"/>
      <c r="E10" s="311"/>
      <c r="F10" s="312"/>
      <c r="G10" s="313" t="s">
        <v>3</v>
      </c>
      <c r="H10" s="314"/>
      <c r="I10" s="315">
        <v>42443</v>
      </c>
      <c r="J10" s="316" t="s">
        <v>3</v>
      </c>
      <c r="K10" s="317"/>
      <c r="L10" s="66"/>
      <c r="M10" s="66"/>
      <c r="N10" s="6"/>
    </row>
    <row r="11" spans="1:14" s="51" customFormat="1" ht="15.6" customHeight="1" thickBot="1" x14ac:dyDescent="0.2">
      <c r="A11" s="349">
        <f t="shared" si="0"/>
        <v>42444</v>
      </c>
      <c r="B11" s="353" t="s">
        <v>107</v>
      </c>
      <c r="C11" s="332"/>
      <c r="D11" s="320" t="s">
        <v>155</v>
      </c>
      <c r="E11" s="321" t="s">
        <v>156</v>
      </c>
      <c r="F11" s="322"/>
      <c r="G11" s="323" t="s">
        <v>3</v>
      </c>
      <c r="H11" s="324"/>
      <c r="I11" s="325">
        <v>42444</v>
      </c>
      <c r="J11" s="326" t="s">
        <v>3</v>
      </c>
      <c r="K11" s="327"/>
      <c r="L11" s="66"/>
      <c r="M11" s="66"/>
      <c r="N11" s="6"/>
    </row>
    <row r="12" spans="1:14" s="51" customFormat="1" ht="15.6" customHeight="1" x14ac:dyDescent="0.15">
      <c r="A12" s="347">
        <f t="shared" si="0"/>
        <v>42445</v>
      </c>
      <c r="B12" s="350" t="s">
        <v>101</v>
      </c>
      <c r="C12" s="300"/>
      <c r="D12" s="355" t="s">
        <v>155</v>
      </c>
      <c r="E12" s="302" t="s">
        <v>156</v>
      </c>
      <c r="F12" s="303"/>
      <c r="G12" s="328" t="s">
        <v>12</v>
      </c>
      <c r="H12" s="329"/>
      <c r="I12" s="306">
        <v>42445</v>
      </c>
      <c r="J12" s="307" t="s">
        <v>3</v>
      </c>
      <c r="K12" s="330"/>
      <c r="L12" s="66"/>
      <c r="M12" s="192" t="s">
        <v>46</v>
      </c>
      <c r="N12" s="6"/>
    </row>
    <row r="13" spans="1:14" s="51" customFormat="1" ht="15.6" customHeight="1" x14ac:dyDescent="0.15">
      <c r="A13" s="348">
        <f t="shared" si="0"/>
        <v>42446</v>
      </c>
      <c r="B13" s="351" t="s">
        <v>102</v>
      </c>
      <c r="C13" s="309"/>
      <c r="D13" s="318" t="s">
        <v>155</v>
      </c>
      <c r="E13" s="311" t="s">
        <v>156</v>
      </c>
      <c r="F13" s="312"/>
      <c r="G13" s="313" t="s">
        <v>3</v>
      </c>
      <c r="H13" s="314"/>
      <c r="I13" s="315">
        <v>42446</v>
      </c>
      <c r="J13" s="316" t="s">
        <v>3</v>
      </c>
      <c r="K13" s="331"/>
      <c r="L13" s="66"/>
      <c r="M13" s="192" t="s">
        <v>44</v>
      </c>
      <c r="N13" s="6"/>
    </row>
    <row r="14" spans="1:14" s="51" customFormat="1" ht="15.6" customHeight="1" x14ac:dyDescent="0.15">
      <c r="A14" s="348">
        <f t="shared" si="0"/>
        <v>42447</v>
      </c>
      <c r="B14" s="351" t="s">
        <v>103</v>
      </c>
      <c r="C14" s="309"/>
      <c r="D14" s="318" t="s">
        <v>155</v>
      </c>
      <c r="E14" s="311" t="s">
        <v>156</v>
      </c>
      <c r="F14" s="312"/>
      <c r="G14" s="313" t="s">
        <v>3</v>
      </c>
      <c r="H14" s="314"/>
      <c r="I14" s="315">
        <v>42447</v>
      </c>
      <c r="J14" s="316" t="s">
        <v>3</v>
      </c>
      <c r="K14" s="331"/>
      <c r="L14" s="66"/>
      <c r="M14" s="189"/>
      <c r="N14" s="6"/>
    </row>
    <row r="15" spans="1:14" s="51" customFormat="1" ht="15.6" customHeight="1" x14ac:dyDescent="0.15">
      <c r="A15" s="348">
        <f t="shared" si="0"/>
        <v>42448</v>
      </c>
      <c r="B15" s="351" t="s">
        <v>104</v>
      </c>
      <c r="C15" s="309"/>
      <c r="D15" s="318" t="s">
        <v>155</v>
      </c>
      <c r="E15" s="311" t="s">
        <v>156</v>
      </c>
      <c r="F15" s="312"/>
      <c r="G15" s="313" t="s">
        <v>3</v>
      </c>
      <c r="H15" s="314"/>
      <c r="I15" s="315">
        <v>42448</v>
      </c>
      <c r="J15" s="316" t="s">
        <v>3</v>
      </c>
      <c r="K15" s="331"/>
      <c r="L15" s="66"/>
      <c r="M15" s="66"/>
      <c r="N15" s="6"/>
    </row>
    <row r="16" spans="1:14" s="51" customFormat="1" ht="15.6" customHeight="1" thickBot="1" x14ac:dyDescent="0.2">
      <c r="A16" s="349">
        <f t="shared" si="0"/>
        <v>42449</v>
      </c>
      <c r="B16" s="353" t="s">
        <v>105</v>
      </c>
      <c r="C16" s="319" t="s">
        <v>9</v>
      </c>
      <c r="D16" s="320"/>
      <c r="E16" s="321"/>
      <c r="F16" s="322"/>
      <c r="G16" s="333" t="s">
        <v>12</v>
      </c>
      <c r="H16" s="334"/>
      <c r="I16" s="325">
        <v>42449</v>
      </c>
      <c r="J16" s="326" t="s">
        <v>3</v>
      </c>
      <c r="K16" s="335"/>
      <c r="L16" s="66"/>
      <c r="M16" s="66"/>
      <c r="N16" s="6"/>
    </row>
    <row r="17" spans="1:17" s="51" customFormat="1" ht="15.6" customHeight="1" x14ac:dyDescent="0.15">
      <c r="A17" s="347">
        <f t="shared" si="0"/>
        <v>42450</v>
      </c>
      <c r="B17" s="350" t="s">
        <v>106</v>
      </c>
      <c r="C17" s="300" t="s">
        <v>9</v>
      </c>
      <c r="D17" s="355"/>
      <c r="E17" s="302"/>
      <c r="F17" s="303"/>
      <c r="G17" s="328" t="s">
        <v>12</v>
      </c>
      <c r="H17" s="329"/>
      <c r="I17" s="306">
        <v>42450</v>
      </c>
      <c r="J17" s="307" t="s">
        <v>3</v>
      </c>
      <c r="K17" s="330"/>
      <c r="L17" s="66"/>
      <c r="M17" s="192" t="s">
        <v>40</v>
      </c>
      <c r="N17" s="6"/>
    </row>
    <row r="18" spans="1:17" s="51" customFormat="1" ht="15.6" customHeight="1" x14ac:dyDescent="0.15">
      <c r="A18" s="348">
        <f t="shared" si="0"/>
        <v>42451</v>
      </c>
      <c r="B18" s="351" t="s">
        <v>107</v>
      </c>
      <c r="C18" s="336"/>
      <c r="D18" s="318" t="s">
        <v>155</v>
      </c>
      <c r="E18" s="311" t="s">
        <v>156</v>
      </c>
      <c r="F18" s="312"/>
      <c r="G18" s="313" t="s">
        <v>3</v>
      </c>
      <c r="H18" s="314"/>
      <c r="I18" s="315">
        <v>42451</v>
      </c>
      <c r="J18" s="316" t="s">
        <v>3</v>
      </c>
      <c r="K18" s="331"/>
      <c r="L18" s="66"/>
      <c r="M18" s="192" t="s">
        <v>47</v>
      </c>
      <c r="N18" s="6"/>
    </row>
    <row r="19" spans="1:17" s="51" customFormat="1" ht="15.6" customHeight="1" x14ac:dyDescent="0.15">
      <c r="A19" s="348">
        <f t="shared" si="0"/>
        <v>42452</v>
      </c>
      <c r="B19" s="351" t="s">
        <v>101</v>
      </c>
      <c r="C19" s="309"/>
      <c r="D19" s="310" t="s">
        <v>155</v>
      </c>
      <c r="E19" s="311" t="s">
        <v>156</v>
      </c>
      <c r="F19" s="312"/>
      <c r="G19" s="313" t="s">
        <v>3</v>
      </c>
      <c r="H19" s="314"/>
      <c r="I19" s="315">
        <v>42452</v>
      </c>
      <c r="J19" s="316" t="s">
        <v>3</v>
      </c>
      <c r="K19" s="331"/>
      <c r="L19" s="66"/>
      <c r="M19" s="66"/>
      <c r="N19" s="6"/>
    </row>
    <row r="20" spans="1:17" s="51" customFormat="1" ht="15.6" customHeight="1" x14ac:dyDescent="0.15">
      <c r="A20" s="348">
        <f t="shared" si="0"/>
        <v>42453</v>
      </c>
      <c r="B20" s="351" t="s">
        <v>102</v>
      </c>
      <c r="C20" s="309"/>
      <c r="D20" s="310" t="s">
        <v>155</v>
      </c>
      <c r="E20" s="311" t="s">
        <v>156</v>
      </c>
      <c r="F20" s="312"/>
      <c r="G20" s="337" t="s">
        <v>12</v>
      </c>
      <c r="H20" s="338"/>
      <c r="I20" s="315">
        <v>42453</v>
      </c>
      <c r="J20" s="316" t="s">
        <v>3</v>
      </c>
      <c r="K20" s="331"/>
      <c r="L20" s="66"/>
      <c r="M20" s="193" t="s">
        <v>51</v>
      </c>
      <c r="N20" s="6"/>
    </row>
    <row r="21" spans="1:17" s="51" customFormat="1" ht="15.6" customHeight="1" thickBot="1" x14ac:dyDescent="0.2">
      <c r="A21" s="349">
        <f t="shared" si="0"/>
        <v>42454</v>
      </c>
      <c r="B21" s="353" t="s">
        <v>103</v>
      </c>
      <c r="C21" s="319"/>
      <c r="D21" s="320" t="s">
        <v>155</v>
      </c>
      <c r="E21" s="321" t="s">
        <v>156</v>
      </c>
      <c r="F21" s="322"/>
      <c r="G21" s="323" t="s">
        <v>3</v>
      </c>
      <c r="H21" s="324"/>
      <c r="I21" s="325">
        <v>42454</v>
      </c>
      <c r="J21" s="326" t="s">
        <v>3</v>
      </c>
      <c r="K21" s="335"/>
      <c r="L21" s="66"/>
      <c r="M21" s="66"/>
      <c r="N21" s="6"/>
    </row>
    <row r="22" spans="1:17" s="51" customFormat="1" ht="15.6" customHeight="1" x14ac:dyDescent="0.15">
      <c r="A22" s="347">
        <f t="shared" si="0"/>
        <v>42455</v>
      </c>
      <c r="B22" s="350" t="s">
        <v>104</v>
      </c>
      <c r="C22" s="300"/>
      <c r="D22" s="355" t="s">
        <v>155</v>
      </c>
      <c r="E22" s="302" t="s">
        <v>156</v>
      </c>
      <c r="F22" s="303"/>
      <c r="G22" s="304" t="s">
        <v>3</v>
      </c>
      <c r="H22" s="305"/>
      <c r="I22" s="306">
        <v>42455</v>
      </c>
      <c r="J22" s="307" t="s">
        <v>3</v>
      </c>
      <c r="K22" s="330"/>
      <c r="L22" s="66"/>
      <c r="M22" s="190"/>
      <c r="N22" s="6"/>
    </row>
    <row r="23" spans="1:17" s="51" customFormat="1" ht="15.6" customHeight="1" x14ac:dyDescent="0.15">
      <c r="A23" s="348">
        <f t="shared" si="0"/>
        <v>42456</v>
      </c>
      <c r="B23" s="351" t="s">
        <v>105</v>
      </c>
      <c r="C23" s="309" t="s">
        <v>160</v>
      </c>
      <c r="D23" s="318" t="s">
        <v>155</v>
      </c>
      <c r="E23" s="311" t="s">
        <v>163</v>
      </c>
      <c r="F23" s="312"/>
      <c r="G23" s="313" t="s">
        <v>3</v>
      </c>
      <c r="H23" s="314"/>
      <c r="I23" s="315">
        <v>42456</v>
      </c>
      <c r="J23" s="316" t="s">
        <v>3</v>
      </c>
      <c r="K23" s="331"/>
      <c r="L23" s="66"/>
      <c r="M23" s="108"/>
      <c r="N23" s="6"/>
    </row>
    <row r="24" spans="1:17" s="51" customFormat="1" ht="15.6" customHeight="1" x14ac:dyDescent="0.15">
      <c r="A24" s="348">
        <f t="shared" si="0"/>
        <v>42457</v>
      </c>
      <c r="B24" s="351" t="s">
        <v>106</v>
      </c>
      <c r="C24" s="309" t="s">
        <v>9</v>
      </c>
      <c r="D24" s="318"/>
      <c r="E24" s="311"/>
      <c r="F24" s="312"/>
      <c r="G24" s="313" t="s">
        <v>3</v>
      </c>
      <c r="H24" s="314"/>
      <c r="I24" s="315">
        <v>42457</v>
      </c>
      <c r="J24" s="316" t="s">
        <v>3</v>
      </c>
      <c r="K24" s="331"/>
      <c r="L24" s="66"/>
      <c r="M24" s="192" t="s">
        <v>56</v>
      </c>
      <c r="N24" s="6"/>
    </row>
    <row r="25" spans="1:17" s="51" customFormat="1" ht="15.6" customHeight="1" x14ac:dyDescent="0.15">
      <c r="A25" s="354">
        <f t="shared" si="0"/>
        <v>42458</v>
      </c>
      <c r="B25" s="351" t="s">
        <v>107</v>
      </c>
      <c r="C25" s="309"/>
      <c r="D25" s="318" t="s">
        <v>155</v>
      </c>
      <c r="E25" s="311" t="s">
        <v>156</v>
      </c>
      <c r="F25" s="341"/>
      <c r="G25" s="342" t="s">
        <v>3</v>
      </c>
      <c r="H25" s="343"/>
      <c r="I25" s="344">
        <v>42458</v>
      </c>
      <c r="J25" s="345" t="s">
        <v>3</v>
      </c>
      <c r="K25" s="346"/>
      <c r="L25" s="66"/>
      <c r="M25" s="192" t="s">
        <v>57</v>
      </c>
      <c r="N25" s="6"/>
    </row>
    <row r="26" spans="1:17" s="51" customFormat="1" ht="15" customHeight="1" x14ac:dyDescent="0.15">
      <c r="A26" s="354">
        <f t="shared" si="0"/>
        <v>42459</v>
      </c>
      <c r="B26" s="351" t="s">
        <v>101</v>
      </c>
      <c r="C26" s="309" t="s">
        <v>150</v>
      </c>
      <c r="D26" s="339"/>
      <c r="E26" s="340"/>
      <c r="F26" s="341"/>
      <c r="G26" s="342" t="s">
        <v>3</v>
      </c>
      <c r="H26" s="343"/>
      <c r="I26" s="344">
        <v>42459</v>
      </c>
      <c r="J26" s="345" t="s">
        <v>3</v>
      </c>
      <c r="K26" s="346"/>
      <c r="L26" s="66"/>
      <c r="M26" s="192" t="s">
        <v>58</v>
      </c>
      <c r="N26" s="6"/>
    </row>
    <row r="27" spans="1:17" s="27" customFormat="1" ht="15.6" customHeight="1" thickBot="1" x14ac:dyDescent="0.2">
      <c r="A27" s="356">
        <f t="shared" si="0"/>
        <v>42460</v>
      </c>
      <c r="B27" s="366"/>
      <c r="C27" s="357"/>
      <c r="D27" s="358"/>
      <c r="E27" s="359"/>
      <c r="F27" s="360"/>
      <c r="G27" s="361" t="s">
        <v>3</v>
      </c>
      <c r="H27" s="362"/>
      <c r="I27" s="363">
        <v>42460</v>
      </c>
      <c r="J27" s="364" t="s">
        <v>3</v>
      </c>
      <c r="K27" s="365"/>
      <c r="L27" s="80"/>
      <c r="M27" s="192" t="s">
        <v>59</v>
      </c>
      <c r="N27" s="79"/>
    </row>
    <row r="28" spans="1:17" s="51" customFormat="1" ht="15.6" customHeight="1" x14ac:dyDescent="0.15">
      <c r="A28" s="347">
        <f t="shared" si="0"/>
        <v>42461</v>
      </c>
      <c r="B28" s="350" t="s">
        <v>135</v>
      </c>
      <c r="C28" s="300"/>
      <c r="D28" s="355" t="s">
        <v>155</v>
      </c>
      <c r="E28" s="302" t="s">
        <v>156</v>
      </c>
      <c r="F28" s="303"/>
      <c r="G28" s="304" t="s">
        <v>3</v>
      </c>
      <c r="H28" s="305"/>
      <c r="I28" s="306">
        <v>42461</v>
      </c>
      <c r="J28" s="307" t="s">
        <v>3</v>
      </c>
      <c r="K28" s="330"/>
      <c r="L28" s="66"/>
      <c r="M28" s="204" t="s">
        <v>60</v>
      </c>
      <c r="N28" s="6"/>
    </row>
    <row r="29" spans="1:17" s="51" customFormat="1" ht="15.6" customHeight="1" x14ac:dyDescent="0.15">
      <c r="A29" s="348">
        <f t="shared" si="0"/>
        <v>42462</v>
      </c>
      <c r="B29" s="351" t="s">
        <v>138</v>
      </c>
      <c r="C29" s="309"/>
      <c r="D29" s="318" t="s">
        <v>155</v>
      </c>
      <c r="E29" s="311" t="s">
        <v>156</v>
      </c>
      <c r="F29" s="312"/>
      <c r="G29" s="313" t="s">
        <v>3</v>
      </c>
      <c r="H29" s="314"/>
      <c r="I29" s="315">
        <v>42462</v>
      </c>
      <c r="J29" s="316" t="s">
        <v>3</v>
      </c>
      <c r="K29" s="331"/>
      <c r="L29" s="66"/>
      <c r="M29" s="66"/>
      <c r="N29" s="6"/>
      <c r="Q29" s="51" t="s">
        <v>154</v>
      </c>
    </row>
    <row r="30" spans="1:17" s="51" customFormat="1" ht="15.6" customHeight="1" x14ac:dyDescent="0.15">
      <c r="A30" s="348">
        <f t="shared" si="0"/>
        <v>42463</v>
      </c>
      <c r="B30" s="351" t="s">
        <v>104</v>
      </c>
      <c r="C30" s="309"/>
      <c r="D30" s="318" t="s">
        <v>155</v>
      </c>
      <c r="E30" s="311" t="s">
        <v>156</v>
      </c>
      <c r="F30" s="312"/>
      <c r="G30" s="313" t="s">
        <v>3</v>
      </c>
      <c r="H30" s="314"/>
      <c r="I30" s="315">
        <v>42463</v>
      </c>
      <c r="J30" s="316" t="s">
        <v>3</v>
      </c>
      <c r="K30" s="331"/>
      <c r="L30" s="66"/>
      <c r="M30" s="66"/>
      <c r="N30" s="6"/>
    </row>
    <row r="31" spans="1:17" s="51" customFormat="1" ht="15.6" customHeight="1" x14ac:dyDescent="0.15">
      <c r="A31" s="348">
        <f t="shared" si="0"/>
        <v>42464</v>
      </c>
      <c r="B31" s="351" t="s">
        <v>105</v>
      </c>
      <c r="C31" s="309" t="s">
        <v>9</v>
      </c>
      <c r="D31" s="318"/>
      <c r="E31" s="311"/>
      <c r="F31" s="312"/>
      <c r="G31" s="313" t="s">
        <v>3</v>
      </c>
      <c r="H31" s="314"/>
      <c r="I31" s="315">
        <v>42464</v>
      </c>
      <c r="J31" s="316" t="s">
        <v>3</v>
      </c>
      <c r="K31" s="331"/>
      <c r="L31" s="66"/>
      <c r="M31" s="66"/>
      <c r="N31" s="6"/>
    </row>
    <row r="32" spans="1:17" s="51" customFormat="1" ht="15.6" customHeight="1" thickBot="1" x14ac:dyDescent="0.2">
      <c r="A32" s="349">
        <f t="shared" si="0"/>
        <v>42465</v>
      </c>
      <c r="B32" s="353" t="s">
        <v>106</v>
      </c>
      <c r="C32" s="319" t="s">
        <v>9</v>
      </c>
      <c r="D32" s="320"/>
      <c r="E32" s="321"/>
      <c r="F32" s="322"/>
      <c r="G32" s="323" t="s">
        <v>3</v>
      </c>
      <c r="H32" s="324"/>
      <c r="I32" s="325">
        <v>42465</v>
      </c>
      <c r="J32" s="326" t="s">
        <v>3</v>
      </c>
      <c r="K32" s="335"/>
      <c r="L32" s="66"/>
      <c r="M32" s="66"/>
      <c r="N32" s="6"/>
    </row>
    <row r="33" spans="1:14" s="51" customFormat="1" ht="15.6" customHeight="1" x14ac:dyDescent="0.15">
      <c r="A33" s="347">
        <f t="shared" si="0"/>
        <v>42466</v>
      </c>
      <c r="B33" s="350" t="s">
        <v>107</v>
      </c>
      <c r="C33" s="300"/>
      <c r="D33" s="301" t="s">
        <v>155</v>
      </c>
      <c r="E33" s="302" t="s">
        <v>156</v>
      </c>
      <c r="F33" s="303"/>
      <c r="G33" s="304" t="s">
        <v>3</v>
      </c>
      <c r="H33" s="305"/>
      <c r="I33" s="306">
        <v>42466</v>
      </c>
      <c r="J33" s="307" t="s">
        <v>3</v>
      </c>
      <c r="K33" s="330"/>
      <c r="L33" s="66"/>
      <c r="M33" s="107"/>
      <c r="N33" s="6"/>
    </row>
    <row r="34" spans="1:14" s="51" customFormat="1" ht="15.6" customHeight="1" x14ac:dyDescent="0.15">
      <c r="A34" s="348">
        <f t="shared" si="0"/>
        <v>42467</v>
      </c>
      <c r="B34" s="351" t="s">
        <v>101</v>
      </c>
      <c r="C34" s="309" t="s">
        <v>150</v>
      </c>
      <c r="D34" s="318"/>
      <c r="E34" s="311"/>
      <c r="F34" s="312"/>
      <c r="G34" s="313" t="s">
        <v>3</v>
      </c>
      <c r="H34" s="314"/>
      <c r="I34" s="315">
        <v>42467</v>
      </c>
      <c r="J34" s="316" t="s">
        <v>3</v>
      </c>
      <c r="K34" s="331"/>
      <c r="L34" s="66"/>
      <c r="M34" s="66"/>
      <c r="N34" s="6"/>
    </row>
    <row r="35" spans="1:14" s="51" customFormat="1" ht="15.6" customHeight="1" x14ac:dyDescent="0.15">
      <c r="A35" s="348">
        <f t="shared" si="0"/>
        <v>42468</v>
      </c>
      <c r="B35" s="351" t="s">
        <v>102</v>
      </c>
      <c r="C35" s="309" t="s">
        <v>150</v>
      </c>
      <c r="D35" s="318"/>
      <c r="E35" s="311"/>
      <c r="F35" s="312"/>
      <c r="G35" s="313" t="s">
        <v>3</v>
      </c>
      <c r="H35" s="314"/>
      <c r="I35" s="315">
        <v>42468</v>
      </c>
      <c r="J35" s="316" t="s">
        <v>3</v>
      </c>
      <c r="K35" s="317"/>
      <c r="L35" s="66"/>
      <c r="M35" s="66"/>
      <c r="N35" s="6"/>
    </row>
    <row r="36" spans="1:14" s="51" customFormat="1" ht="15.6" customHeight="1" x14ac:dyDescent="0.15">
      <c r="A36" s="348">
        <f t="shared" si="0"/>
        <v>42469</v>
      </c>
      <c r="B36" s="351" t="s">
        <v>103</v>
      </c>
      <c r="C36" s="309"/>
      <c r="D36" s="318" t="s">
        <v>155</v>
      </c>
      <c r="E36" s="311" t="s">
        <v>156</v>
      </c>
      <c r="F36" s="312"/>
      <c r="G36" s="313" t="s">
        <v>3</v>
      </c>
      <c r="H36" s="314"/>
      <c r="I36" s="315">
        <v>42469</v>
      </c>
      <c r="J36" s="316" t="s">
        <v>3</v>
      </c>
      <c r="K36" s="317"/>
      <c r="L36" s="66"/>
      <c r="M36" s="66"/>
      <c r="N36" s="6"/>
    </row>
    <row r="37" spans="1:14" s="51" customFormat="1" ht="15.6" customHeight="1" thickBot="1" x14ac:dyDescent="0.2">
      <c r="A37" s="349">
        <f t="shared" si="0"/>
        <v>42470</v>
      </c>
      <c r="B37" s="353" t="s">
        <v>104</v>
      </c>
      <c r="C37" s="319" t="s">
        <v>159</v>
      </c>
      <c r="D37" s="367" t="s">
        <v>161</v>
      </c>
      <c r="E37" s="321" t="s">
        <v>162</v>
      </c>
      <c r="F37" s="322"/>
      <c r="G37" s="323" t="s">
        <v>3</v>
      </c>
      <c r="H37" s="324"/>
      <c r="I37" s="325">
        <v>42470</v>
      </c>
      <c r="J37" s="326" t="s">
        <v>3</v>
      </c>
      <c r="K37" s="327"/>
      <c r="L37" s="59"/>
      <c r="M37" s="191"/>
      <c r="N37" s="6"/>
    </row>
    <row r="38" spans="1:14" s="51" customFormat="1" ht="26.25" customHeight="1" x14ac:dyDescent="0.15">
      <c r="A38" s="28"/>
      <c r="B38" s="6"/>
      <c r="C38" s="6"/>
      <c r="D38" s="6"/>
      <c r="E38" s="6"/>
      <c r="F38" s="21"/>
      <c r="G38" s="6"/>
      <c r="H38" s="6"/>
      <c r="I38" s="6"/>
      <c r="J38" s="7"/>
      <c r="K38" s="6"/>
      <c r="L38" s="6"/>
      <c r="M38" s="6"/>
      <c r="N38" s="6"/>
    </row>
    <row r="39" spans="1:14" s="51" customFormat="1" ht="22.5" customHeight="1" x14ac:dyDescent="0.15">
      <c r="A39" s="28"/>
      <c r="B39" s="6"/>
      <c r="C39" s="6"/>
      <c r="D39" s="6"/>
      <c r="E39" s="6"/>
      <c r="F39" s="21"/>
      <c r="G39" s="6"/>
      <c r="H39" s="6"/>
      <c r="I39" s="6"/>
      <c r="J39" s="7"/>
      <c r="K39" s="6"/>
      <c r="L39" s="6"/>
      <c r="M39" s="6"/>
      <c r="N39" s="6"/>
    </row>
    <row r="40" spans="1:14" s="4" customFormat="1" ht="24.75" customHeight="1" x14ac:dyDescent="0.2">
      <c r="A40" s="56"/>
      <c r="C40" s="3"/>
      <c r="D40" s="15"/>
      <c r="F40" s="22"/>
      <c r="J40" s="5"/>
      <c r="K40" s="2"/>
      <c r="L40" s="2"/>
      <c r="M40" s="58"/>
      <c r="N40" s="58"/>
    </row>
    <row r="41" spans="1:14" s="51" customFormat="1" ht="15" customHeight="1" x14ac:dyDescent="0.15">
      <c r="A41" s="15" t="s">
        <v>45</v>
      </c>
      <c r="C41" s="1"/>
      <c r="D41" s="1"/>
      <c r="F41" s="20"/>
      <c r="M41" s="6"/>
      <c r="N41" s="6"/>
    </row>
    <row r="42" spans="1:14" s="51" customFormat="1" ht="15" customHeight="1" x14ac:dyDescent="0.15">
      <c r="A42" s="124" t="s">
        <v>43</v>
      </c>
      <c r="C42" s="1"/>
      <c r="D42" s="1"/>
      <c r="F42" s="20"/>
      <c r="M42" s="6"/>
      <c r="N42" s="6"/>
    </row>
    <row r="43" spans="1:14" x14ac:dyDescent="0.15">
      <c r="A43" s="124" t="s">
        <v>82</v>
      </c>
      <c r="F43"/>
      <c r="M43" s="57"/>
      <c r="N43" s="57"/>
    </row>
    <row r="44" spans="1:14" ht="9.75" customHeight="1" x14ac:dyDescent="0.15">
      <c r="A44" s="18"/>
      <c r="F44"/>
      <c r="M44" s="57"/>
      <c r="N44" s="57"/>
    </row>
    <row r="45" spans="1:14" s="123" customFormat="1" ht="11.25" x14ac:dyDescent="0.15">
      <c r="A45" s="123" t="s">
        <v>48</v>
      </c>
    </row>
    <row r="46" spans="1:14" x14ac:dyDescent="0.15">
      <c r="N46" s="57"/>
    </row>
    <row r="50" spans="1:12" s="4" customFormat="1" ht="15" customHeight="1" x14ac:dyDescent="0.2">
      <c r="A50" s="56"/>
      <c r="C50" s="3"/>
      <c r="D50" s="15"/>
      <c r="F50" s="22"/>
      <c r="J50" s="5"/>
      <c r="K50" s="2"/>
      <c r="L50" s="2"/>
    </row>
    <row r="51" spans="1:12" s="51" customFormat="1" ht="15" customHeight="1" x14ac:dyDescent="0.15">
      <c r="A51" s="55"/>
      <c r="C51" s="1"/>
      <c r="D51" s="1"/>
      <c r="F51" s="20"/>
    </row>
    <row r="52" spans="1:12" s="51" customFormat="1" ht="15" customHeight="1" x14ac:dyDescent="0.15">
      <c r="A52" s="18"/>
      <c r="C52" s="1"/>
      <c r="D52" s="1"/>
      <c r="F52" s="20"/>
    </row>
    <row r="53" spans="1:12" x14ac:dyDescent="0.15">
      <c r="F53"/>
    </row>
    <row r="54" spans="1:12" x14ac:dyDescent="0.15">
      <c r="F54"/>
    </row>
  </sheetData>
  <mergeCells count="9">
    <mergeCell ref="E3:I3"/>
    <mergeCell ref="M5:M6"/>
    <mergeCell ref="J5:K5"/>
    <mergeCell ref="F5:F6"/>
    <mergeCell ref="A5:A6"/>
    <mergeCell ref="B5:B6"/>
    <mergeCell ref="C5:C6"/>
    <mergeCell ref="I5:I6"/>
    <mergeCell ref="D5:E5"/>
  </mergeCells>
  <phoneticPr fontId="9"/>
  <pageMargins left="0.47244094488188981" right="0.39370078740157483" top="0.19685039370078741" bottom="0.19685039370078741" header="0.23622047244094491" footer="0"/>
  <pageSetup paperSize="9" scale="86" orientation="landscape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4"/>
  <sheetViews>
    <sheetView showGridLines="0" zoomScale="85" zoomScaleNormal="85" workbookViewId="0">
      <selection activeCell="O26" sqref="O26"/>
    </sheetView>
  </sheetViews>
  <sheetFormatPr defaultRowHeight="13.5" x14ac:dyDescent="0.15"/>
  <cols>
    <col min="1" max="1" width="3.625" customWidth="1"/>
    <col min="2" max="2" width="5.125" customWidth="1"/>
    <col min="3" max="3" width="7" customWidth="1"/>
    <col min="4" max="5" width="16.125" customWidth="1"/>
    <col min="6" max="6" width="24.875" style="23" customWidth="1"/>
    <col min="7" max="7" width="7.625" customWidth="1"/>
    <col min="8" max="8" width="15.125" customWidth="1"/>
    <col min="9" max="9" width="3.625" customWidth="1"/>
    <col min="10" max="10" width="7.625" bestFit="1" customWidth="1"/>
    <col min="11" max="11" width="23.75" customWidth="1"/>
    <col min="12" max="12" width="2.75" customWidth="1"/>
    <col min="13" max="13" width="30.25" customWidth="1"/>
  </cols>
  <sheetData>
    <row r="1" spans="1:14" ht="17.25" customHeight="1" x14ac:dyDescent="0.15">
      <c r="A1" s="187" t="s">
        <v>85</v>
      </c>
    </row>
    <row r="2" spans="1:14" ht="10.5" customHeight="1" x14ac:dyDescent="0.15"/>
    <row r="3" spans="1:14" s="194" customFormat="1" ht="17.25" x14ac:dyDescent="0.15">
      <c r="A3"/>
      <c r="E3" s="385" t="s">
        <v>61</v>
      </c>
      <c r="F3" s="385"/>
      <c r="G3" s="385"/>
      <c r="H3" s="385"/>
      <c r="I3" s="385"/>
      <c r="N3" s="6"/>
    </row>
    <row r="4" spans="1:14" s="194" customFormat="1" ht="21" customHeight="1" thickBot="1" x14ac:dyDescent="0.2">
      <c r="A4" s="106" t="s">
        <v>84</v>
      </c>
      <c r="E4" s="211" t="s">
        <v>68</v>
      </c>
      <c r="H4" s="105"/>
      <c r="I4" s="105"/>
      <c r="M4" s="6"/>
      <c r="N4" s="6"/>
    </row>
    <row r="5" spans="1:14" s="194" customFormat="1" ht="15" customHeight="1" x14ac:dyDescent="0.15">
      <c r="A5" s="373" t="s">
        <v>2</v>
      </c>
      <c r="B5" s="373" t="s">
        <v>0</v>
      </c>
      <c r="C5" s="375" t="s">
        <v>54</v>
      </c>
      <c r="D5" s="370" t="s">
        <v>80</v>
      </c>
      <c r="E5" s="372"/>
      <c r="F5" s="380" t="s">
        <v>19</v>
      </c>
      <c r="G5" s="104" t="s">
        <v>8</v>
      </c>
      <c r="H5" s="103"/>
      <c r="I5" s="373" t="s">
        <v>2</v>
      </c>
      <c r="J5" s="397" t="s">
        <v>18</v>
      </c>
      <c r="K5" s="397"/>
      <c r="L5" s="98"/>
      <c r="M5" s="386" t="s">
        <v>17</v>
      </c>
      <c r="N5" s="6"/>
    </row>
    <row r="6" spans="1:14" s="194" customFormat="1" ht="14.25" customHeight="1" x14ac:dyDescent="0.15">
      <c r="A6" s="383"/>
      <c r="B6" s="383"/>
      <c r="C6" s="384"/>
      <c r="D6" s="17" t="s">
        <v>16</v>
      </c>
      <c r="E6" s="10" t="s">
        <v>15</v>
      </c>
      <c r="F6" s="382"/>
      <c r="G6" s="102" t="s">
        <v>6</v>
      </c>
      <c r="H6" s="101" t="s">
        <v>79</v>
      </c>
      <c r="I6" s="383"/>
      <c r="J6" s="100" t="s">
        <v>14</v>
      </c>
      <c r="K6" s="99" t="s">
        <v>13</v>
      </c>
      <c r="L6" s="98"/>
      <c r="M6" s="387"/>
      <c r="N6" s="6"/>
    </row>
    <row r="7" spans="1:14" s="194" customFormat="1" ht="15.6" customHeight="1" x14ac:dyDescent="0.15">
      <c r="A7" s="97">
        <v>42440</v>
      </c>
      <c r="B7" s="37">
        <f t="shared" ref="B7:B37" si="0">A7</f>
        <v>42440</v>
      </c>
      <c r="C7" s="41"/>
      <c r="D7" s="71" t="s">
        <v>91</v>
      </c>
      <c r="E7" s="40" t="s">
        <v>11</v>
      </c>
      <c r="F7" s="96"/>
      <c r="G7" s="69" t="s">
        <v>3</v>
      </c>
      <c r="H7" s="45"/>
      <c r="I7" s="68">
        <f>A7</f>
        <v>42440</v>
      </c>
      <c r="J7" s="25" t="s">
        <v>3</v>
      </c>
      <c r="K7" s="67"/>
      <c r="L7" s="66"/>
      <c r="M7" s="66"/>
      <c r="N7" s="6"/>
    </row>
    <row r="8" spans="1:14" s="194" customFormat="1" ht="15.6" customHeight="1" x14ac:dyDescent="0.15">
      <c r="A8" s="68">
        <f t="shared" ref="A8:A37" si="1">A7+1</f>
        <v>42441</v>
      </c>
      <c r="B8" s="37">
        <f t="shared" si="0"/>
        <v>42441</v>
      </c>
      <c r="C8" s="41" t="s">
        <v>9</v>
      </c>
      <c r="D8" s="93" t="s">
        <v>11</v>
      </c>
      <c r="E8" s="40" t="s">
        <v>11</v>
      </c>
      <c r="F8" s="70"/>
      <c r="G8" s="69" t="s">
        <v>3</v>
      </c>
      <c r="H8" s="31"/>
      <c r="I8" s="68">
        <f t="shared" ref="I8:I37" si="2">I7+1</f>
        <v>42441</v>
      </c>
      <c r="J8" s="39" t="s">
        <v>3</v>
      </c>
      <c r="K8" s="67"/>
      <c r="L8" s="66"/>
      <c r="M8" s="66"/>
      <c r="N8" s="6"/>
    </row>
    <row r="9" spans="1:14" s="194" customFormat="1" ht="15.6" customHeight="1" x14ac:dyDescent="0.15">
      <c r="A9" s="68">
        <f t="shared" si="1"/>
        <v>42442</v>
      </c>
      <c r="B9" s="37">
        <f t="shared" si="0"/>
        <v>42442</v>
      </c>
      <c r="C9" s="41" t="s">
        <v>9</v>
      </c>
      <c r="D9" s="93" t="s">
        <v>11</v>
      </c>
      <c r="E9" s="40" t="s">
        <v>11</v>
      </c>
      <c r="F9" s="70"/>
      <c r="G9" s="69" t="s">
        <v>3</v>
      </c>
      <c r="H9" s="31"/>
      <c r="I9" s="68">
        <f t="shared" si="2"/>
        <v>42442</v>
      </c>
      <c r="J9" s="39" t="s">
        <v>3</v>
      </c>
      <c r="K9" s="67"/>
      <c r="L9" s="66"/>
      <c r="M9" s="66"/>
      <c r="N9" s="6"/>
    </row>
    <row r="10" spans="1:14" s="194" customFormat="1" ht="15.6" customHeight="1" x14ac:dyDescent="0.15">
      <c r="A10" s="68">
        <f t="shared" si="1"/>
        <v>42443</v>
      </c>
      <c r="B10" s="37">
        <f t="shared" si="0"/>
        <v>42443</v>
      </c>
      <c r="C10" s="38" t="s">
        <v>10</v>
      </c>
      <c r="D10" s="71" t="s">
        <v>11</v>
      </c>
      <c r="E10" s="40" t="s">
        <v>11</v>
      </c>
      <c r="F10" s="70"/>
      <c r="G10" s="69" t="s">
        <v>3</v>
      </c>
      <c r="H10" s="31"/>
      <c r="I10" s="68">
        <f t="shared" si="2"/>
        <v>42443</v>
      </c>
      <c r="J10" s="39" t="s">
        <v>3</v>
      </c>
      <c r="K10" s="67"/>
      <c r="L10" s="66"/>
      <c r="M10" s="66"/>
      <c r="N10" s="6"/>
    </row>
    <row r="11" spans="1:14" s="194" customFormat="1" ht="15.6" customHeight="1" x14ac:dyDescent="0.15">
      <c r="A11" s="73">
        <f t="shared" si="1"/>
        <v>42444</v>
      </c>
      <c r="B11" s="78">
        <f t="shared" si="0"/>
        <v>42444</v>
      </c>
      <c r="C11" s="95"/>
      <c r="D11" s="210" t="s">
        <v>65</v>
      </c>
      <c r="E11" s="74" t="s">
        <v>11</v>
      </c>
      <c r="F11" s="63"/>
      <c r="G11" s="76" t="s">
        <v>3</v>
      </c>
      <c r="H11" s="13"/>
      <c r="I11" s="65">
        <f t="shared" si="2"/>
        <v>42444</v>
      </c>
      <c r="J11" s="46">
        <v>7.9166666666666663E-2</v>
      </c>
      <c r="K11" s="67" t="s">
        <v>64</v>
      </c>
      <c r="L11" s="66"/>
      <c r="M11" s="66"/>
      <c r="N11" s="6"/>
    </row>
    <row r="12" spans="1:14" s="194" customFormat="1" ht="15.6" customHeight="1" x14ac:dyDescent="0.15">
      <c r="A12" s="94">
        <f t="shared" si="1"/>
        <v>42445</v>
      </c>
      <c r="B12" s="33">
        <f t="shared" si="0"/>
        <v>42445</v>
      </c>
      <c r="C12" s="34"/>
      <c r="D12" s="71" t="s">
        <v>11</v>
      </c>
      <c r="E12" s="40" t="s">
        <v>66</v>
      </c>
      <c r="F12" s="70" t="s">
        <v>67</v>
      </c>
      <c r="G12" s="87" t="s">
        <v>7</v>
      </c>
      <c r="H12" s="88"/>
      <c r="I12" s="68">
        <f t="shared" si="2"/>
        <v>42445</v>
      </c>
      <c r="J12" s="39" t="s">
        <v>3</v>
      </c>
      <c r="K12" s="36"/>
      <c r="L12" s="66"/>
      <c r="M12" s="192" t="s">
        <v>46</v>
      </c>
      <c r="N12" s="6"/>
    </row>
    <row r="13" spans="1:14" s="194" customFormat="1" ht="15.6" customHeight="1" x14ac:dyDescent="0.15">
      <c r="A13" s="68">
        <f t="shared" si="1"/>
        <v>42446</v>
      </c>
      <c r="B13" s="37">
        <f t="shared" si="0"/>
        <v>42446</v>
      </c>
      <c r="C13" s="41"/>
      <c r="D13" s="71" t="s">
        <v>11</v>
      </c>
      <c r="E13" s="40" t="s">
        <v>11</v>
      </c>
      <c r="F13" s="70"/>
      <c r="G13" s="69" t="s">
        <v>3</v>
      </c>
      <c r="H13" s="31"/>
      <c r="I13" s="68">
        <f t="shared" si="2"/>
        <v>42446</v>
      </c>
      <c r="J13" s="39" t="s">
        <v>3</v>
      </c>
      <c r="K13" s="30"/>
      <c r="L13" s="66"/>
      <c r="M13" s="192" t="s">
        <v>44</v>
      </c>
      <c r="N13" s="6"/>
    </row>
    <row r="14" spans="1:14" s="194" customFormat="1" ht="15.6" customHeight="1" x14ac:dyDescent="0.15">
      <c r="A14" s="68">
        <f t="shared" si="1"/>
        <v>42447</v>
      </c>
      <c r="B14" s="37">
        <f t="shared" si="0"/>
        <v>42447</v>
      </c>
      <c r="C14" s="41"/>
      <c r="D14" s="93" t="s">
        <v>11</v>
      </c>
      <c r="E14" s="40" t="s">
        <v>11</v>
      </c>
      <c r="F14" s="70"/>
      <c r="G14" s="69" t="s">
        <v>3</v>
      </c>
      <c r="H14" s="31"/>
      <c r="I14" s="68">
        <f t="shared" si="2"/>
        <v>42447</v>
      </c>
      <c r="J14" s="39" t="s">
        <v>3</v>
      </c>
      <c r="K14" s="67"/>
      <c r="L14" s="66"/>
      <c r="M14" s="189"/>
      <c r="N14" s="6"/>
    </row>
    <row r="15" spans="1:14" s="194" customFormat="1" ht="15.6" customHeight="1" x14ac:dyDescent="0.15">
      <c r="A15" s="68">
        <f t="shared" si="1"/>
        <v>42448</v>
      </c>
      <c r="B15" s="37">
        <f t="shared" si="0"/>
        <v>42448</v>
      </c>
      <c r="C15" s="38" t="s">
        <v>9</v>
      </c>
      <c r="D15" s="71" t="s">
        <v>11</v>
      </c>
      <c r="E15" s="40" t="s">
        <v>11</v>
      </c>
      <c r="F15" s="70"/>
      <c r="G15" s="69" t="s">
        <v>3</v>
      </c>
      <c r="H15" s="31"/>
      <c r="I15" s="68">
        <f t="shared" si="2"/>
        <v>42448</v>
      </c>
      <c r="J15" s="39" t="s">
        <v>3</v>
      </c>
      <c r="K15" s="40"/>
      <c r="L15" s="66"/>
      <c r="M15" s="66"/>
      <c r="N15" s="6"/>
    </row>
    <row r="16" spans="1:14" s="194" customFormat="1" ht="15.6" customHeight="1" x14ac:dyDescent="0.15">
      <c r="A16" s="65">
        <f t="shared" si="1"/>
        <v>42449</v>
      </c>
      <c r="B16" s="92">
        <f t="shared" si="0"/>
        <v>42449</v>
      </c>
      <c r="C16" s="245" t="s">
        <v>9</v>
      </c>
      <c r="D16" s="77" t="s">
        <v>11</v>
      </c>
      <c r="E16" s="74" t="s">
        <v>11</v>
      </c>
      <c r="F16" s="63"/>
      <c r="G16" s="90" t="s">
        <v>7</v>
      </c>
      <c r="H16" s="89"/>
      <c r="I16" s="65">
        <f t="shared" si="2"/>
        <v>42449</v>
      </c>
      <c r="J16" s="75" t="s">
        <v>3</v>
      </c>
      <c r="K16" s="74"/>
      <c r="L16" s="66"/>
      <c r="M16" s="66"/>
      <c r="N16" s="6"/>
    </row>
    <row r="17" spans="1:14" s="194" customFormat="1" ht="15.6" customHeight="1" x14ac:dyDescent="0.15">
      <c r="A17" s="68">
        <f t="shared" si="1"/>
        <v>42450</v>
      </c>
      <c r="B17" s="37">
        <f t="shared" si="0"/>
        <v>42450</v>
      </c>
      <c r="C17" s="71"/>
      <c r="D17" s="71" t="s">
        <v>11</v>
      </c>
      <c r="E17" s="40" t="s">
        <v>11</v>
      </c>
      <c r="F17" s="70"/>
      <c r="G17" s="87" t="s">
        <v>7</v>
      </c>
      <c r="H17" s="88"/>
      <c r="I17" s="68">
        <f t="shared" si="2"/>
        <v>42450</v>
      </c>
      <c r="J17" s="39" t="s">
        <v>3</v>
      </c>
      <c r="K17" s="40"/>
      <c r="L17" s="66"/>
      <c r="M17" s="192" t="s">
        <v>40</v>
      </c>
      <c r="N17" s="6"/>
    </row>
    <row r="18" spans="1:14" s="194" customFormat="1" ht="15.6" customHeight="1" x14ac:dyDescent="0.15">
      <c r="A18" s="68">
        <f t="shared" si="1"/>
        <v>42451</v>
      </c>
      <c r="B18" s="37">
        <f t="shared" si="0"/>
        <v>42451</v>
      </c>
      <c r="C18" s="41"/>
      <c r="D18" s="71" t="s">
        <v>11</v>
      </c>
      <c r="E18" s="40" t="s">
        <v>11</v>
      </c>
      <c r="F18" s="70"/>
      <c r="G18" s="69" t="s">
        <v>3</v>
      </c>
      <c r="H18" s="31"/>
      <c r="I18" s="68">
        <f t="shared" si="2"/>
        <v>42451</v>
      </c>
      <c r="J18" s="39" t="s">
        <v>3</v>
      </c>
      <c r="K18" s="40"/>
      <c r="L18" s="66"/>
      <c r="M18" s="192" t="s">
        <v>47</v>
      </c>
      <c r="N18" s="6"/>
    </row>
    <row r="19" spans="1:14" s="194" customFormat="1" ht="15.6" customHeight="1" x14ac:dyDescent="0.15">
      <c r="A19" s="68">
        <f t="shared" si="1"/>
        <v>42452</v>
      </c>
      <c r="B19" s="37">
        <f t="shared" si="0"/>
        <v>42452</v>
      </c>
      <c r="C19" s="41"/>
      <c r="D19" s="71" t="s">
        <v>11</v>
      </c>
      <c r="E19" s="40" t="s">
        <v>11</v>
      </c>
      <c r="F19" s="70"/>
      <c r="G19" s="69" t="s">
        <v>3</v>
      </c>
      <c r="H19" s="31"/>
      <c r="I19" s="68">
        <f t="shared" si="2"/>
        <v>42452</v>
      </c>
      <c r="J19" s="39" t="s">
        <v>3</v>
      </c>
      <c r="K19" s="40"/>
      <c r="L19" s="66"/>
      <c r="M19" s="66"/>
      <c r="N19" s="6"/>
    </row>
    <row r="20" spans="1:14" s="194" customFormat="1" ht="15.6" customHeight="1" x14ac:dyDescent="0.15">
      <c r="A20" s="68">
        <f t="shared" si="1"/>
        <v>42453</v>
      </c>
      <c r="B20" s="37">
        <f t="shared" si="0"/>
        <v>42453</v>
      </c>
      <c r="C20" s="71"/>
      <c r="D20" s="71" t="s">
        <v>11</v>
      </c>
      <c r="E20" s="40" t="s">
        <v>11</v>
      </c>
      <c r="F20" s="70"/>
      <c r="G20" s="87" t="s">
        <v>7</v>
      </c>
      <c r="H20" s="86"/>
      <c r="I20" s="68">
        <f t="shared" si="2"/>
        <v>42453</v>
      </c>
      <c r="J20" s="39" t="s">
        <v>3</v>
      </c>
      <c r="K20" s="40"/>
      <c r="L20" s="66"/>
      <c r="M20" s="193" t="s">
        <v>89</v>
      </c>
      <c r="N20" s="6"/>
    </row>
    <row r="21" spans="1:14" s="194" customFormat="1" ht="15.6" customHeight="1" x14ac:dyDescent="0.15">
      <c r="A21" s="65">
        <f t="shared" si="1"/>
        <v>42454</v>
      </c>
      <c r="B21" s="78">
        <f t="shared" si="0"/>
        <v>42454</v>
      </c>
      <c r="C21" s="77"/>
      <c r="D21" s="77" t="s">
        <v>11</v>
      </c>
      <c r="E21" s="74" t="s">
        <v>11</v>
      </c>
      <c r="F21" s="63"/>
      <c r="G21" s="76" t="s">
        <v>3</v>
      </c>
      <c r="H21" s="13"/>
      <c r="I21" s="65">
        <f t="shared" si="2"/>
        <v>42454</v>
      </c>
      <c r="J21" s="75" t="s">
        <v>3</v>
      </c>
      <c r="K21" s="74"/>
      <c r="L21" s="66"/>
      <c r="M21" s="66"/>
      <c r="N21" s="6"/>
    </row>
    <row r="22" spans="1:14" s="194" customFormat="1" ht="15.6" customHeight="1" x14ac:dyDescent="0.15">
      <c r="A22" s="73">
        <f t="shared" si="1"/>
        <v>42455</v>
      </c>
      <c r="B22" s="72">
        <f t="shared" si="0"/>
        <v>42455</v>
      </c>
      <c r="C22" s="71"/>
      <c r="D22" s="71" t="s">
        <v>11</v>
      </c>
      <c r="E22" s="40" t="s">
        <v>11</v>
      </c>
      <c r="F22" s="70"/>
      <c r="G22" s="69" t="s">
        <v>3</v>
      </c>
      <c r="H22" s="45"/>
      <c r="I22" s="68">
        <f t="shared" si="2"/>
        <v>42455</v>
      </c>
      <c r="J22" s="39" t="s">
        <v>3</v>
      </c>
      <c r="K22" s="40"/>
      <c r="L22" s="66"/>
      <c r="M22" s="190"/>
      <c r="N22" s="6"/>
    </row>
    <row r="23" spans="1:14" s="194" customFormat="1" ht="15.6" customHeight="1" x14ac:dyDescent="0.15">
      <c r="A23" s="35">
        <f t="shared" si="1"/>
        <v>42456</v>
      </c>
      <c r="B23" s="37">
        <f t="shared" si="0"/>
        <v>42456</v>
      </c>
      <c r="C23" s="41"/>
      <c r="D23" s="71" t="s">
        <v>11</v>
      </c>
      <c r="E23" s="40" t="s">
        <v>11</v>
      </c>
      <c r="F23" s="70"/>
      <c r="G23" s="69" t="s">
        <v>3</v>
      </c>
      <c r="H23" s="31"/>
      <c r="I23" s="68">
        <f t="shared" si="2"/>
        <v>42456</v>
      </c>
      <c r="J23" s="39" t="s">
        <v>3</v>
      </c>
      <c r="K23" s="40"/>
      <c r="L23" s="66"/>
      <c r="M23" s="108"/>
      <c r="N23" s="6"/>
    </row>
    <row r="24" spans="1:14" s="194" customFormat="1" ht="15.6" customHeight="1" x14ac:dyDescent="0.15">
      <c r="A24" s="35">
        <f t="shared" si="1"/>
        <v>42457</v>
      </c>
      <c r="B24" s="37">
        <f t="shared" si="0"/>
        <v>42457</v>
      </c>
      <c r="C24" s="41"/>
      <c r="D24" s="71" t="s">
        <v>11</v>
      </c>
      <c r="E24" s="40" t="s">
        <v>11</v>
      </c>
      <c r="F24" s="70"/>
      <c r="G24" s="69" t="s">
        <v>3</v>
      </c>
      <c r="H24" s="31"/>
      <c r="I24" s="68">
        <f t="shared" si="2"/>
        <v>42457</v>
      </c>
      <c r="J24" s="39" t="s">
        <v>3</v>
      </c>
      <c r="K24" s="40"/>
      <c r="L24" s="66"/>
      <c r="M24" s="192" t="s">
        <v>56</v>
      </c>
      <c r="N24" s="6"/>
    </row>
    <row r="25" spans="1:14" s="194" customFormat="1" ht="15.6" customHeight="1" x14ac:dyDescent="0.15">
      <c r="A25" s="35">
        <f t="shared" si="1"/>
        <v>42458</v>
      </c>
      <c r="B25" s="37">
        <f t="shared" si="0"/>
        <v>42458</v>
      </c>
      <c r="C25" s="41"/>
      <c r="D25" s="71" t="s">
        <v>11</v>
      </c>
      <c r="E25" s="40" t="s">
        <v>11</v>
      </c>
      <c r="F25" s="70"/>
      <c r="G25" s="69" t="s">
        <v>3</v>
      </c>
      <c r="H25" s="31"/>
      <c r="I25" s="68">
        <f t="shared" si="2"/>
        <v>42458</v>
      </c>
      <c r="J25" s="39" t="s">
        <v>3</v>
      </c>
      <c r="K25" s="40"/>
      <c r="L25" s="66"/>
      <c r="M25" s="192" t="s">
        <v>57</v>
      </c>
      <c r="N25" s="6"/>
    </row>
    <row r="26" spans="1:14" s="194" customFormat="1" ht="15.6" customHeight="1" x14ac:dyDescent="0.15">
      <c r="A26" s="35">
        <f t="shared" si="1"/>
        <v>42459</v>
      </c>
      <c r="B26" s="37">
        <f t="shared" si="0"/>
        <v>42459</v>
      </c>
      <c r="C26" s="198"/>
      <c r="D26" s="16" t="s">
        <v>11</v>
      </c>
      <c r="E26" s="30" t="s">
        <v>11</v>
      </c>
      <c r="F26" s="85"/>
      <c r="G26" s="84" t="s">
        <v>3</v>
      </c>
      <c r="H26" s="31"/>
      <c r="I26" s="83">
        <f t="shared" si="2"/>
        <v>42459</v>
      </c>
      <c r="J26" s="26" t="s">
        <v>3</v>
      </c>
      <c r="K26" s="30"/>
      <c r="L26" s="66"/>
      <c r="M26" s="192" t="s">
        <v>58</v>
      </c>
      <c r="N26" s="6"/>
    </row>
    <row r="27" spans="1:14" s="27" customFormat="1" ht="15.6" customHeight="1" x14ac:dyDescent="0.15">
      <c r="A27" s="65">
        <f t="shared" si="1"/>
        <v>42460</v>
      </c>
      <c r="B27" s="78">
        <f t="shared" si="0"/>
        <v>42460</v>
      </c>
      <c r="C27" s="47"/>
      <c r="D27" s="47" t="s">
        <v>11</v>
      </c>
      <c r="E27" s="48" t="s">
        <v>11</v>
      </c>
      <c r="F27" s="82"/>
      <c r="G27" s="76" t="s">
        <v>3</v>
      </c>
      <c r="H27" s="49"/>
      <c r="I27" s="29">
        <f t="shared" si="2"/>
        <v>42460</v>
      </c>
      <c r="J27" s="81" t="s">
        <v>3</v>
      </c>
      <c r="K27" s="48"/>
      <c r="L27" s="80"/>
      <c r="M27" s="192" t="s">
        <v>59</v>
      </c>
      <c r="N27" s="79"/>
    </row>
    <row r="28" spans="1:14" s="194" customFormat="1" ht="15.6" customHeight="1" x14ac:dyDescent="0.15">
      <c r="A28" s="73">
        <f t="shared" si="1"/>
        <v>42461</v>
      </c>
      <c r="B28" s="72">
        <f t="shared" si="0"/>
        <v>42461</v>
      </c>
      <c r="C28" s="71"/>
      <c r="D28" s="71" t="s">
        <v>11</v>
      </c>
      <c r="E28" s="40" t="s">
        <v>11</v>
      </c>
      <c r="F28" s="70"/>
      <c r="G28" s="69" t="s">
        <v>3</v>
      </c>
      <c r="H28" s="45"/>
      <c r="I28" s="68">
        <f t="shared" si="2"/>
        <v>42461</v>
      </c>
      <c r="J28" s="39" t="s">
        <v>3</v>
      </c>
      <c r="K28" s="40"/>
      <c r="L28" s="66"/>
      <c r="M28" s="204" t="s">
        <v>60</v>
      </c>
      <c r="N28" s="6"/>
    </row>
    <row r="29" spans="1:14" s="194" customFormat="1" ht="15.6" customHeight="1" x14ac:dyDescent="0.15">
      <c r="A29" s="35">
        <f t="shared" si="1"/>
        <v>42462</v>
      </c>
      <c r="B29" s="37">
        <f t="shared" si="0"/>
        <v>42462</v>
      </c>
      <c r="C29" s="71"/>
      <c r="D29" s="71" t="s">
        <v>11</v>
      </c>
      <c r="E29" s="40" t="s">
        <v>11</v>
      </c>
      <c r="F29" s="70"/>
      <c r="G29" s="69" t="s">
        <v>3</v>
      </c>
      <c r="H29" s="31"/>
      <c r="I29" s="68">
        <f t="shared" si="2"/>
        <v>42462</v>
      </c>
      <c r="J29" s="39" t="s">
        <v>3</v>
      </c>
      <c r="K29" s="40"/>
      <c r="L29" s="66"/>
      <c r="M29" s="66"/>
      <c r="N29" s="6"/>
    </row>
    <row r="30" spans="1:14" s="194" customFormat="1" ht="15.6" customHeight="1" x14ac:dyDescent="0.15">
      <c r="A30" s="35">
        <f t="shared" si="1"/>
        <v>42463</v>
      </c>
      <c r="B30" s="37">
        <f t="shared" si="0"/>
        <v>42463</v>
      </c>
      <c r="C30" s="41"/>
      <c r="D30" s="71" t="s">
        <v>11</v>
      </c>
      <c r="E30" s="40" t="s">
        <v>11</v>
      </c>
      <c r="F30" s="70"/>
      <c r="G30" s="69" t="s">
        <v>3</v>
      </c>
      <c r="H30" s="31"/>
      <c r="I30" s="68">
        <f t="shared" si="2"/>
        <v>42463</v>
      </c>
      <c r="J30" s="39" t="s">
        <v>3</v>
      </c>
      <c r="K30" s="40"/>
      <c r="L30" s="66"/>
      <c r="M30" s="66"/>
      <c r="N30" s="6"/>
    </row>
    <row r="31" spans="1:14" s="194" customFormat="1" ht="15.6" customHeight="1" x14ac:dyDescent="0.15">
      <c r="A31" s="35">
        <f t="shared" si="1"/>
        <v>42464</v>
      </c>
      <c r="B31" s="37">
        <f t="shared" si="0"/>
        <v>42464</v>
      </c>
      <c r="C31" s="71"/>
      <c r="D31" s="71" t="s">
        <v>11</v>
      </c>
      <c r="E31" s="40" t="s">
        <v>11</v>
      </c>
      <c r="F31" s="70"/>
      <c r="G31" s="69" t="s">
        <v>3</v>
      </c>
      <c r="H31" s="31"/>
      <c r="I31" s="68">
        <f t="shared" si="2"/>
        <v>42464</v>
      </c>
      <c r="J31" s="39" t="s">
        <v>3</v>
      </c>
      <c r="K31" s="40"/>
      <c r="L31" s="66"/>
      <c r="M31" s="66"/>
      <c r="N31" s="6"/>
    </row>
    <row r="32" spans="1:14" s="194" customFormat="1" ht="15.6" customHeight="1" x14ac:dyDescent="0.15">
      <c r="A32" s="65">
        <f t="shared" si="1"/>
        <v>42465</v>
      </c>
      <c r="B32" s="78">
        <f t="shared" si="0"/>
        <v>42465</v>
      </c>
      <c r="C32" s="77"/>
      <c r="D32" s="77" t="s">
        <v>11</v>
      </c>
      <c r="E32" s="74" t="s">
        <v>11</v>
      </c>
      <c r="F32" s="63"/>
      <c r="G32" s="76" t="s">
        <v>3</v>
      </c>
      <c r="H32" s="13"/>
      <c r="I32" s="65">
        <f t="shared" si="2"/>
        <v>42465</v>
      </c>
      <c r="J32" s="75" t="s">
        <v>3</v>
      </c>
      <c r="K32" s="74"/>
      <c r="L32" s="66"/>
      <c r="M32" s="66"/>
      <c r="N32" s="6"/>
    </row>
    <row r="33" spans="1:14" s="194" customFormat="1" ht="15.6" customHeight="1" x14ac:dyDescent="0.15">
      <c r="A33" s="73">
        <f t="shared" si="1"/>
        <v>42466</v>
      </c>
      <c r="B33" s="72">
        <f t="shared" si="0"/>
        <v>42466</v>
      </c>
      <c r="C33" s="71"/>
      <c r="D33" s="71" t="s">
        <v>11</v>
      </c>
      <c r="E33" s="40" t="s">
        <v>11</v>
      </c>
      <c r="F33" s="70"/>
      <c r="G33" s="69" t="s">
        <v>3</v>
      </c>
      <c r="H33" s="45"/>
      <c r="I33" s="68">
        <f t="shared" si="2"/>
        <v>42466</v>
      </c>
      <c r="J33" s="39" t="s">
        <v>3</v>
      </c>
      <c r="K33" s="40"/>
      <c r="L33" s="66"/>
      <c r="M33" s="107"/>
      <c r="N33" s="6"/>
    </row>
    <row r="34" spans="1:14" s="194" customFormat="1" ht="15.6" customHeight="1" x14ac:dyDescent="0.15">
      <c r="A34" s="35">
        <f t="shared" si="1"/>
        <v>42467</v>
      </c>
      <c r="B34" s="37">
        <f t="shared" si="0"/>
        <v>42467</v>
      </c>
      <c r="C34" s="41"/>
      <c r="D34" s="71" t="s">
        <v>11</v>
      </c>
      <c r="E34" s="40" t="s">
        <v>11</v>
      </c>
      <c r="F34" s="70"/>
      <c r="G34" s="69" t="s">
        <v>3</v>
      </c>
      <c r="H34" s="31"/>
      <c r="I34" s="68">
        <f t="shared" si="2"/>
        <v>42467</v>
      </c>
      <c r="J34" s="39" t="s">
        <v>3</v>
      </c>
      <c r="K34" s="40"/>
      <c r="L34" s="66"/>
      <c r="M34" s="66"/>
      <c r="N34" s="6"/>
    </row>
    <row r="35" spans="1:14" s="194" customFormat="1" ht="15.6" customHeight="1" x14ac:dyDescent="0.15">
      <c r="A35" s="35">
        <f t="shared" si="1"/>
        <v>42468</v>
      </c>
      <c r="B35" s="37">
        <f t="shared" si="0"/>
        <v>42468</v>
      </c>
      <c r="C35" s="41"/>
      <c r="D35" s="71" t="s">
        <v>11</v>
      </c>
      <c r="E35" s="40" t="s">
        <v>11</v>
      </c>
      <c r="F35" s="70"/>
      <c r="G35" s="69" t="s">
        <v>3</v>
      </c>
      <c r="H35" s="31"/>
      <c r="I35" s="68">
        <f t="shared" si="2"/>
        <v>42468</v>
      </c>
      <c r="J35" s="39" t="s">
        <v>3</v>
      </c>
      <c r="K35" s="67"/>
      <c r="L35" s="66"/>
      <c r="M35" s="66"/>
      <c r="N35" s="6"/>
    </row>
    <row r="36" spans="1:14" s="194" customFormat="1" ht="15.6" customHeight="1" x14ac:dyDescent="0.15">
      <c r="A36" s="35">
        <f t="shared" si="1"/>
        <v>42469</v>
      </c>
      <c r="B36" s="37">
        <f t="shared" si="0"/>
        <v>42469</v>
      </c>
      <c r="C36" s="41"/>
      <c r="D36" s="71" t="s">
        <v>11</v>
      </c>
      <c r="E36" s="40" t="s">
        <v>11</v>
      </c>
      <c r="F36" s="70"/>
      <c r="G36" s="69" t="s">
        <v>3</v>
      </c>
      <c r="H36" s="31"/>
      <c r="I36" s="68">
        <f t="shared" si="2"/>
        <v>42469</v>
      </c>
      <c r="J36" s="39" t="s">
        <v>3</v>
      </c>
      <c r="K36" s="67"/>
      <c r="L36" s="66"/>
      <c r="M36" s="66"/>
      <c r="N36" s="6"/>
    </row>
    <row r="37" spans="1:14" s="194" customFormat="1" ht="15.6" customHeight="1" thickBot="1" x14ac:dyDescent="0.2">
      <c r="A37" s="65">
        <f t="shared" si="1"/>
        <v>42470</v>
      </c>
      <c r="B37" s="64">
        <f t="shared" si="0"/>
        <v>42470</v>
      </c>
      <c r="C37" s="11"/>
      <c r="D37" s="11" t="s">
        <v>11</v>
      </c>
      <c r="E37" s="44" t="s">
        <v>11</v>
      </c>
      <c r="F37" s="63"/>
      <c r="G37" s="62" t="s">
        <v>3</v>
      </c>
      <c r="H37" s="13"/>
      <c r="I37" s="61">
        <f t="shared" si="2"/>
        <v>42470</v>
      </c>
      <c r="J37" s="14" t="s">
        <v>3</v>
      </c>
      <c r="K37" s="60"/>
      <c r="L37" s="59"/>
      <c r="M37" s="191"/>
      <c r="N37" s="6"/>
    </row>
    <row r="38" spans="1:14" s="194" customFormat="1" ht="26.25" customHeight="1" x14ac:dyDescent="0.15">
      <c r="A38" s="19"/>
      <c r="B38" s="6"/>
      <c r="C38" s="6"/>
      <c r="D38" s="6"/>
      <c r="E38" s="6"/>
      <c r="F38" s="21"/>
      <c r="G38" s="6"/>
      <c r="H38" s="6"/>
      <c r="I38" s="6"/>
      <c r="J38" s="7"/>
      <c r="K38" s="6"/>
      <c r="L38" s="6"/>
      <c r="M38" s="6"/>
      <c r="N38" s="6"/>
    </row>
    <row r="39" spans="1:14" s="194" customFormat="1" ht="22.5" customHeight="1" x14ac:dyDescent="0.15">
      <c r="A39" s="28"/>
      <c r="B39" s="6"/>
      <c r="C39" s="6"/>
      <c r="D39" s="6"/>
      <c r="E39" s="6"/>
      <c r="F39" s="21"/>
      <c r="G39" s="6"/>
      <c r="H39" s="6"/>
      <c r="I39" s="6"/>
      <c r="J39" s="7"/>
      <c r="K39" s="6"/>
      <c r="L39" s="6"/>
      <c r="M39" s="6"/>
      <c r="N39" s="6"/>
    </row>
    <row r="40" spans="1:14" s="4" customFormat="1" ht="24.75" customHeight="1" x14ac:dyDescent="0.2">
      <c r="A40" s="56"/>
      <c r="C40" s="196"/>
      <c r="D40" s="15"/>
      <c r="F40" s="22"/>
      <c r="J40" s="5"/>
      <c r="K40" s="2"/>
      <c r="L40" s="2"/>
      <c r="M40" s="58"/>
      <c r="N40" s="58"/>
    </row>
    <row r="41" spans="1:14" s="194" customFormat="1" ht="15" customHeight="1" x14ac:dyDescent="0.15">
      <c r="A41" s="15" t="s">
        <v>45</v>
      </c>
      <c r="C41" s="1"/>
      <c r="D41" s="1"/>
      <c r="F41" s="20"/>
      <c r="M41" s="6"/>
      <c r="N41" s="6"/>
    </row>
    <row r="42" spans="1:14" s="194" customFormat="1" ht="15" customHeight="1" x14ac:dyDescent="0.15">
      <c r="A42" s="124" t="s">
        <v>43</v>
      </c>
      <c r="C42" s="1"/>
      <c r="D42" s="1"/>
      <c r="F42" s="20"/>
      <c r="M42" s="6"/>
      <c r="N42" s="6"/>
    </row>
    <row r="43" spans="1:14" x14ac:dyDescent="0.15">
      <c r="A43" s="124" t="s">
        <v>82</v>
      </c>
      <c r="F43"/>
      <c r="M43" s="57"/>
      <c r="N43" s="57"/>
    </row>
    <row r="44" spans="1:14" ht="9.75" customHeight="1" x14ac:dyDescent="0.15">
      <c r="A44" s="18"/>
      <c r="F44"/>
      <c r="M44" s="57"/>
      <c r="N44" s="57"/>
    </row>
    <row r="45" spans="1:14" s="123" customFormat="1" ht="11.25" x14ac:dyDescent="0.15">
      <c r="A45" s="123" t="s">
        <v>48</v>
      </c>
    </row>
    <row r="46" spans="1:14" x14ac:dyDescent="0.15">
      <c r="N46" s="57"/>
    </row>
    <row r="50" spans="1:12" s="4" customFormat="1" ht="15" customHeight="1" x14ac:dyDescent="0.2">
      <c r="A50" s="56"/>
      <c r="C50" s="196"/>
      <c r="D50" s="15"/>
      <c r="F50" s="22"/>
      <c r="J50" s="5"/>
      <c r="K50" s="2"/>
      <c r="L50" s="2"/>
    </row>
    <row r="51" spans="1:12" s="194" customFormat="1" ht="15" customHeight="1" x14ac:dyDescent="0.15">
      <c r="A51" s="55"/>
      <c r="C51" s="1"/>
      <c r="D51" s="1"/>
      <c r="F51" s="20"/>
    </row>
    <row r="52" spans="1:12" s="194" customFormat="1" ht="15" customHeight="1" x14ac:dyDescent="0.15">
      <c r="A52" s="18"/>
      <c r="C52" s="1"/>
      <c r="D52" s="1"/>
      <c r="F52" s="20"/>
    </row>
    <row r="53" spans="1:12" x14ac:dyDescent="0.15">
      <c r="F53"/>
    </row>
    <row r="54" spans="1:12" x14ac:dyDescent="0.15">
      <c r="F54"/>
    </row>
  </sheetData>
  <mergeCells count="9">
    <mergeCell ref="J5:K5"/>
    <mergeCell ref="M5:M6"/>
    <mergeCell ref="E3:I3"/>
    <mergeCell ref="A5:A6"/>
    <mergeCell ref="B5:B6"/>
    <mergeCell ref="C5:C6"/>
    <mergeCell ref="D5:E5"/>
    <mergeCell ref="F5:F6"/>
    <mergeCell ref="I5:I6"/>
  </mergeCells>
  <phoneticPr fontId="9"/>
  <pageMargins left="0.47244094488188981" right="0.39370078740157483" top="0.19685039370078741" bottom="0.19685039370078741" header="0.23622047244094491" footer="0"/>
  <pageSetup paperSize="9" scale="86" orientation="landscape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3"/>
  <sheetViews>
    <sheetView zoomScale="80" zoomScaleNormal="80" zoomScaleSheetLayoutView="85" workbookViewId="0"/>
  </sheetViews>
  <sheetFormatPr defaultColWidth="9" defaultRowHeight="13.5" x14ac:dyDescent="0.15"/>
  <cols>
    <col min="1" max="2" width="5.625" style="126" customWidth="1"/>
    <col min="3" max="3" width="11.625" style="126" customWidth="1"/>
    <col min="4" max="5" width="21.375" style="126" customWidth="1"/>
    <col min="6" max="6" width="12.125" style="126" customWidth="1"/>
    <col min="7" max="8" width="12" style="126" customWidth="1"/>
    <col min="9" max="9" width="37.375" style="126" customWidth="1"/>
    <col min="10" max="10" width="7.625" style="126" customWidth="1"/>
    <col min="11" max="16384" width="9" style="126"/>
  </cols>
  <sheetData>
    <row r="1" spans="1:14" ht="16.5" customHeight="1" x14ac:dyDescent="0.15">
      <c r="A1" s="188" t="s">
        <v>90</v>
      </c>
      <c r="I1" s="398"/>
      <c r="J1" s="398"/>
    </row>
    <row r="2" spans="1:14" ht="9" customHeight="1" x14ac:dyDescent="0.15">
      <c r="A2" s="125"/>
      <c r="I2" s="127"/>
      <c r="J2" s="127"/>
    </row>
    <row r="3" spans="1:14" s="129" customFormat="1" ht="24.75" customHeight="1" x14ac:dyDescent="0.15">
      <c r="A3" s="128" t="s">
        <v>87</v>
      </c>
      <c r="F3" s="130" t="s">
        <v>55</v>
      </c>
      <c r="G3" s="130"/>
      <c r="H3" s="130"/>
      <c r="I3" s="131"/>
      <c r="J3" s="131"/>
    </row>
    <row r="4" spans="1:14" s="137" customFormat="1" ht="30" customHeight="1" x14ac:dyDescent="0.15">
      <c r="A4" s="132" t="s">
        <v>36</v>
      </c>
      <c r="B4" s="132" t="s">
        <v>0</v>
      </c>
      <c r="C4" s="133" t="s">
        <v>35</v>
      </c>
      <c r="D4" s="134" t="s">
        <v>16</v>
      </c>
      <c r="E4" s="135" t="s">
        <v>15</v>
      </c>
      <c r="F4" s="135" t="s">
        <v>34</v>
      </c>
      <c r="G4" s="135" t="s">
        <v>33</v>
      </c>
      <c r="H4" s="136" t="s">
        <v>32</v>
      </c>
      <c r="I4" s="134" t="s">
        <v>31</v>
      </c>
      <c r="J4" s="132" t="s">
        <v>30</v>
      </c>
    </row>
    <row r="5" spans="1:14" s="129" customFormat="1" ht="18.600000000000001" customHeight="1" x14ac:dyDescent="0.15">
      <c r="A5" s="138">
        <v>42440</v>
      </c>
      <c r="B5" s="139">
        <f>A5</f>
        <v>42440</v>
      </c>
      <c r="C5" s="140"/>
      <c r="D5" s="141" t="s">
        <v>38</v>
      </c>
      <c r="E5" s="142" t="s">
        <v>37</v>
      </c>
      <c r="F5" s="143" t="s">
        <v>28</v>
      </c>
      <c r="G5" s="143" t="s">
        <v>28</v>
      </c>
      <c r="H5" s="143" t="s">
        <v>28</v>
      </c>
      <c r="I5" s="144"/>
      <c r="J5" s="145"/>
    </row>
    <row r="6" spans="1:14" s="129" customFormat="1" ht="18.600000000000001" customHeight="1" x14ac:dyDescent="0.15">
      <c r="A6" s="146">
        <f t="shared" ref="A6:A35" si="0">A5+1</f>
        <v>42441</v>
      </c>
      <c r="B6" s="147">
        <f t="shared" ref="B6:B35" si="1">B5+1</f>
        <v>42441</v>
      </c>
      <c r="C6" s="148"/>
      <c r="D6" s="149" t="s">
        <v>37</v>
      </c>
      <c r="E6" s="150" t="s">
        <v>37</v>
      </c>
      <c r="F6" s="143" t="s">
        <v>28</v>
      </c>
      <c r="G6" s="143" t="s">
        <v>28</v>
      </c>
      <c r="H6" s="143" t="s">
        <v>28</v>
      </c>
      <c r="I6" s="151"/>
      <c r="J6" s="145"/>
    </row>
    <row r="7" spans="1:14" s="129" customFormat="1" ht="18.600000000000001" customHeight="1" x14ac:dyDescent="0.15">
      <c r="A7" s="146">
        <f t="shared" si="0"/>
        <v>42442</v>
      </c>
      <c r="B7" s="147">
        <f t="shared" si="1"/>
        <v>42442</v>
      </c>
      <c r="C7" s="148"/>
      <c r="D7" s="149" t="s">
        <v>37</v>
      </c>
      <c r="E7" s="150" t="s">
        <v>37</v>
      </c>
      <c r="F7" s="143" t="s">
        <v>28</v>
      </c>
      <c r="G7" s="143" t="s">
        <v>28</v>
      </c>
      <c r="H7" s="143" t="s">
        <v>28</v>
      </c>
      <c r="I7" s="151"/>
      <c r="J7" s="145"/>
    </row>
    <row r="8" spans="1:14" s="129" customFormat="1" ht="18.600000000000001" customHeight="1" x14ac:dyDescent="0.15">
      <c r="A8" s="146">
        <f t="shared" si="0"/>
        <v>42443</v>
      </c>
      <c r="B8" s="147">
        <f t="shared" si="1"/>
        <v>42443</v>
      </c>
      <c r="C8" s="148"/>
      <c r="D8" s="149" t="s">
        <v>37</v>
      </c>
      <c r="E8" s="150" t="s">
        <v>37</v>
      </c>
      <c r="F8" s="143" t="s">
        <v>28</v>
      </c>
      <c r="G8" s="143" t="s">
        <v>28</v>
      </c>
      <c r="H8" s="143" t="s">
        <v>28</v>
      </c>
      <c r="I8" s="151"/>
      <c r="J8" s="145"/>
    </row>
    <row r="9" spans="1:14" s="129" customFormat="1" ht="18.600000000000001" customHeight="1" x14ac:dyDescent="0.15">
      <c r="A9" s="152">
        <f t="shared" si="0"/>
        <v>42444</v>
      </c>
      <c r="B9" s="153">
        <f t="shared" si="1"/>
        <v>42444</v>
      </c>
      <c r="C9" s="154"/>
      <c r="D9" s="155" t="s">
        <v>37</v>
      </c>
      <c r="E9" s="156" t="s">
        <v>37</v>
      </c>
      <c r="F9" s="157" t="s">
        <v>28</v>
      </c>
      <c r="G9" s="157" t="s">
        <v>28</v>
      </c>
      <c r="H9" s="157" t="s">
        <v>28</v>
      </c>
      <c r="I9" s="158"/>
      <c r="J9" s="159"/>
    </row>
    <row r="10" spans="1:14" s="129" customFormat="1" ht="18.600000000000001" customHeight="1" x14ac:dyDescent="0.15">
      <c r="A10" s="146">
        <f t="shared" si="0"/>
        <v>42445</v>
      </c>
      <c r="B10" s="147">
        <f t="shared" si="1"/>
        <v>42445</v>
      </c>
      <c r="C10" s="148"/>
      <c r="D10" s="141" t="s">
        <v>37</v>
      </c>
      <c r="E10" s="142" t="s">
        <v>37</v>
      </c>
      <c r="F10" s="143" t="s">
        <v>28</v>
      </c>
      <c r="G10" s="143" t="s">
        <v>28</v>
      </c>
      <c r="H10" s="143" t="s">
        <v>28</v>
      </c>
      <c r="I10" s="151"/>
      <c r="J10" s="145"/>
      <c r="K10" s="160"/>
      <c r="L10" s="160"/>
      <c r="M10" s="160"/>
      <c r="N10" s="160"/>
    </row>
    <row r="11" spans="1:14" s="129" customFormat="1" ht="18.600000000000001" customHeight="1" x14ac:dyDescent="0.15">
      <c r="A11" s="146">
        <f t="shared" si="0"/>
        <v>42446</v>
      </c>
      <c r="B11" s="147">
        <f t="shared" si="1"/>
        <v>42446</v>
      </c>
      <c r="C11" s="148"/>
      <c r="D11" s="149" t="s">
        <v>37</v>
      </c>
      <c r="E11" s="150" t="s">
        <v>37</v>
      </c>
      <c r="F11" s="143" t="s">
        <v>28</v>
      </c>
      <c r="G11" s="143" t="s">
        <v>28</v>
      </c>
      <c r="H11" s="143" t="s">
        <v>28</v>
      </c>
      <c r="I11" s="151"/>
      <c r="J11" s="145"/>
      <c r="K11" s="160"/>
      <c r="L11" s="160"/>
      <c r="M11" s="160"/>
      <c r="N11" s="160"/>
    </row>
    <row r="12" spans="1:14" s="129" customFormat="1" ht="18.600000000000001" customHeight="1" x14ac:dyDescent="0.15">
      <c r="A12" s="146">
        <f t="shared" si="0"/>
        <v>42447</v>
      </c>
      <c r="B12" s="147">
        <f t="shared" si="1"/>
        <v>42447</v>
      </c>
      <c r="C12" s="148"/>
      <c r="D12" s="149" t="s">
        <v>37</v>
      </c>
      <c r="E12" s="150" t="s">
        <v>37</v>
      </c>
      <c r="F12" s="143" t="s">
        <v>28</v>
      </c>
      <c r="G12" s="143" t="s">
        <v>28</v>
      </c>
      <c r="H12" s="143" t="s">
        <v>28</v>
      </c>
      <c r="I12" s="151"/>
      <c r="J12" s="145"/>
      <c r="K12" s="160"/>
      <c r="L12" s="160"/>
      <c r="M12" s="160"/>
      <c r="N12" s="160"/>
    </row>
    <row r="13" spans="1:14" s="129" customFormat="1" ht="18.600000000000001" customHeight="1" x14ac:dyDescent="0.15">
      <c r="A13" s="146">
        <f t="shared" si="0"/>
        <v>42448</v>
      </c>
      <c r="B13" s="147">
        <f t="shared" si="1"/>
        <v>42448</v>
      </c>
      <c r="C13" s="148"/>
      <c r="D13" s="149" t="s">
        <v>37</v>
      </c>
      <c r="E13" s="150" t="s">
        <v>37</v>
      </c>
      <c r="F13" s="143" t="s">
        <v>28</v>
      </c>
      <c r="G13" s="143" t="s">
        <v>28</v>
      </c>
      <c r="H13" s="143" t="s">
        <v>28</v>
      </c>
      <c r="I13" s="151"/>
      <c r="J13" s="145"/>
      <c r="K13" s="160"/>
      <c r="L13" s="160"/>
      <c r="M13" s="160"/>
      <c r="N13" s="160"/>
    </row>
    <row r="14" spans="1:14" s="129" customFormat="1" ht="18.600000000000001" customHeight="1" x14ac:dyDescent="0.15">
      <c r="A14" s="152">
        <f t="shared" si="0"/>
        <v>42449</v>
      </c>
      <c r="B14" s="153">
        <f t="shared" si="1"/>
        <v>42449</v>
      </c>
      <c r="C14" s="154"/>
      <c r="D14" s="155" t="s">
        <v>37</v>
      </c>
      <c r="E14" s="156" t="s">
        <v>37</v>
      </c>
      <c r="F14" s="157" t="s">
        <v>28</v>
      </c>
      <c r="G14" s="157" t="s">
        <v>28</v>
      </c>
      <c r="H14" s="157" t="s">
        <v>28</v>
      </c>
      <c r="I14" s="158"/>
      <c r="J14" s="159"/>
      <c r="K14" s="160"/>
      <c r="L14" s="160"/>
      <c r="M14" s="160"/>
      <c r="N14" s="160"/>
    </row>
    <row r="15" spans="1:14" s="129" customFormat="1" ht="18.600000000000001" customHeight="1" x14ac:dyDescent="0.15">
      <c r="A15" s="146">
        <f t="shared" si="0"/>
        <v>42450</v>
      </c>
      <c r="B15" s="147">
        <f t="shared" si="1"/>
        <v>42450</v>
      </c>
      <c r="C15" s="148"/>
      <c r="D15" s="141" t="s">
        <v>37</v>
      </c>
      <c r="E15" s="142" t="s">
        <v>37</v>
      </c>
      <c r="F15" s="143" t="s">
        <v>28</v>
      </c>
      <c r="G15" s="143" t="s">
        <v>28</v>
      </c>
      <c r="H15" s="143" t="s">
        <v>28</v>
      </c>
      <c r="I15" s="151"/>
      <c r="J15" s="145"/>
      <c r="K15" s="160"/>
      <c r="L15" s="160"/>
      <c r="M15" s="160"/>
      <c r="N15" s="160"/>
    </row>
    <row r="16" spans="1:14" s="129" customFormat="1" ht="18.600000000000001" customHeight="1" x14ac:dyDescent="0.15">
      <c r="A16" s="146">
        <f t="shared" si="0"/>
        <v>42451</v>
      </c>
      <c r="B16" s="147">
        <f t="shared" si="1"/>
        <v>42451</v>
      </c>
      <c r="C16" s="148"/>
      <c r="D16" s="149" t="s">
        <v>37</v>
      </c>
      <c r="E16" s="150" t="s">
        <v>37</v>
      </c>
      <c r="F16" s="143" t="s">
        <v>28</v>
      </c>
      <c r="G16" s="143" t="s">
        <v>28</v>
      </c>
      <c r="H16" s="143" t="s">
        <v>28</v>
      </c>
      <c r="I16" s="151"/>
      <c r="J16" s="145"/>
      <c r="K16" s="160"/>
      <c r="L16" s="160"/>
      <c r="M16" s="160"/>
      <c r="N16" s="160"/>
    </row>
    <row r="17" spans="1:14" s="129" customFormat="1" ht="18.600000000000001" customHeight="1" x14ac:dyDescent="0.15">
      <c r="A17" s="146">
        <f t="shared" si="0"/>
        <v>42452</v>
      </c>
      <c r="B17" s="147">
        <f t="shared" si="1"/>
        <v>42452</v>
      </c>
      <c r="C17" s="148"/>
      <c r="D17" s="149" t="s">
        <v>37</v>
      </c>
      <c r="E17" s="150" t="s">
        <v>37</v>
      </c>
      <c r="F17" s="143" t="s">
        <v>28</v>
      </c>
      <c r="G17" s="143" t="s">
        <v>28</v>
      </c>
      <c r="H17" s="143" t="s">
        <v>28</v>
      </c>
      <c r="I17" s="151"/>
      <c r="J17" s="145"/>
      <c r="K17" s="160"/>
      <c r="L17" s="160"/>
      <c r="M17" s="160"/>
      <c r="N17" s="160"/>
    </row>
    <row r="18" spans="1:14" s="129" customFormat="1" ht="18.600000000000001" customHeight="1" x14ac:dyDescent="0.15">
      <c r="A18" s="146">
        <f t="shared" si="0"/>
        <v>42453</v>
      </c>
      <c r="B18" s="147">
        <f t="shared" si="1"/>
        <v>42453</v>
      </c>
      <c r="C18" s="148"/>
      <c r="D18" s="149" t="s">
        <v>37</v>
      </c>
      <c r="E18" s="150" t="s">
        <v>37</v>
      </c>
      <c r="F18" s="143" t="s">
        <v>28</v>
      </c>
      <c r="G18" s="143" t="s">
        <v>28</v>
      </c>
      <c r="H18" s="143" t="s">
        <v>28</v>
      </c>
      <c r="I18" s="151"/>
      <c r="J18" s="145"/>
      <c r="K18" s="160"/>
      <c r="L18" s="160"/>
      <c r="M18" s="160"/>
      <c r="N18" s="160"/>
    </row>
    <row r="19" spans="1:14" s="129" customFormat="1" ht="18.600000000000001" customHeight="1" x14ac:dyDescent="0.15">
      <c r="A19" s="152">
        <f t="shared" si="0"/>
        <v>42454</v>
      </c>
      <c r="B19" s="153">
        <f t="shared" si="1"/>
        <v>42454</v>
      </c>
      <c r="C19" s="154"/>
      <c r="D19" s="155" t="s">
        <v>37</v>
      </c>
      <c r="E19" s="156" t="s">
        <v>37</v>
      </c>
      <c r="F19" s="157" t="s">
        <v>28</v>
      </c>
      <c r="G19" s="157" t="s">
        <v>28</v>
      </c>
      <c r="H19" s="157" t="s">
        <v>28</v>
      </c>
      <c r="I19" s="158"/>
      <c r="J19" s="159"/>
    </row>
    <row r="20" spans="1:14" s="129" customFormat="1" ht="18.600000000000001" customHeight="1" x14ac:dyDescent="0.15">
      <c r="A20" s="146">
        <f t="shared" si="0"/>
        <v>42455</v>
      </c>
      <c r="B20" s="147">
        <f t="shared" si="1"/>
        <v>42455</v>
      </c>
      <c r="C20" s="148"/>
      <c r="D20" s="141" t="s">
        <v>37</v>
      </c>
      <c r="E20" s="142" t="s">
        <v>37</v>
      </c>
      <c r="F20" s="143" t="s">
        <v>28</v>
      </c>
      <c r="G20" s="143" t="s">
        <v>28</v>
      </c>
      <c r="H20" s="143" t="s">
        <v>28</v>
      </c>
      <c r="I20" s="151"/>
      <c r="J20" s="145"/>
    </row>
    <row r="21" spans="1:14" s="129" customFormat="1" ht="18.600000000000001" customHeight="1" x14ac:dyDescent="0.15">
      <c r="A21" s="146">
        <f t="shared" si="0"/>
        <v>42456</v>
      </c>
      <c r="B21" s="147">
        <f t="shared" si="1"/>
        <v>42456</v>
      </c>
      <c r="C21" s="148"/>
      <c r="D21" s="149" t="s">
        <v>37</v>
      </c>
      <c r="E21" s="150" t="s">
        <v>37</v>
      </c>
      <c r="F21" s="143" t="s">
        <v>28</v>
      </c>
      <c r="G21" s="143" t="s">
        <v>28</v>
      </c>
      <c r="H21" s="143" t="s">
        <v>28</v>
      </c>
      <c r="I21" s="151"/>
      <c r="J21" s="145"/>
    </row>
    <row r="22" spans="1:14" s="129" customFormat="1" ht="18.600000000000001" customHeight="1" x14ac:dyDescent="0.15">
      <c r="A22" s="146">
        <f t="shared" si="0"/>
        <v>42457</v>
      </c>
      <c r="B22" s="147">
        <f t="shared" si="1"/>
        <v>42457</v>
      </c>
      <c r="C22" s="148"/>
      <c r="D22" s="149" t="s">
        <v>37</v>
      </c>
      <c r="E22" s="150" t="s">
        <v>37</v>
      </c>
      <c r="F22" s="143" t="s">
        <v>28</v>
      </c>
      <c r="G22" s="143" t="s">
        <v>28</v>
      </c>
      <c r="H22" s="143" t="s">
        <v>28</v>
      </c>
      <c r="I22" s="151"/>
      <c r="J22" s="145"/>
    </row>
    <row r="23" spans="1:14" s="129" customFormat="1" ht="18.600000000000001" customHeight="1" x14ac:dyDescent="0.15">
      <c r="A23" s="146">
        <f t="shared" si="0"/>
        <v>42458</v>
      </c>
      <c r="B23" s="147">
        <f t="shared" si="1"/>
        <v>42458</v>
      </c>
      <c r="C23" s="148"/>
      <c r="D23" s="149" t="s">
        <v>37</v>
      </c>
      <c r="E23" s="150" t="s">
        <v>37</v>
      </c>
      <c r="F23" s="143" t="s">
        <v>28</v>
      </c>
      <c r="G23" s="143" t="s">
        <v>28</v>
      </c>
      <c r="H23" s="143" t="s">
        <v>28</v>
      </c>
      <c r="I23" s="151"/>
      <c r="J23" s="145"/>
    </row>
    <row r="24" spans="1:14" s="129" customFormat="1" ht="18.600000000000001" customHeight="1" x14ac:dyDescent="0.15">
      <c r="A24" s="161">
        <f t="shared" si="0"/>
        <v>42459</v>
      </c>
      <c r="B24" s="162">
        <f t="shared" si="1"/>
        <v>42459</v>
      </c>
      <c r="C24" s="163"/>
      <c r="D24" s="149" t="s">
        <v>37</v>
      </c>
      <c r="E24" s="150" t="s">
        <v>37</v>
      </c>
      <c r="F24" s="164" t="s">
        <v>28</v>
      </c>
      <c r="G24" s="164" t="s">
        <v>28</v>
      </c>
      <c r="H24" s="164" t="s">
        <v>28</v>
      </c>
      <c r="I24" s="165"/>
      <c r="J24" s="166"/>
    </row>
    <row r="25" spans="1:14" s="129" customFormat="1" ht="18.600000000000001" customHeight="1" x14ac:dyDescent="0.15">
      <c r="A25" s="167">
        <f t="shared" si="0"/>
        <v>42460</v>
      </c>
      <c r="B25" s="168">
        <f t="shared" si="1"/>
        <v>42460</v>
      </c>
      <c r="C25" s="169"/>
      <c r="D25" s="155" t="s">
        <v>37</v>
      </c>
      <c r="E25" s="156" t="s">
        <v>37</v>
      </c>
      <c r="F25" s="170" t="s">
        <v>29</v>
      </c>
      <c r="G25" s="170" t="s">
        <v>29</v>
      </c>
      <c r="H25" s="170" t="s">
        <v>29</v>
      </c>
      <c r="I25" s="171"/>
      <c r="J25" s="172"/>
    </row>
    <row r="26" spans="1:14" s="129" customFormat="1" ht="18.600000000000001" customHeight="1" x14ac:dyDescent="0.15">
      <c r="A26" s="146">
        <f t="shared" si="0"/>
        <v>42461</v>
      </c>
      <c r="B26" s="147">
        <f t="shared" si="1"/>
        <v>42461</v>
      </c>
      <c r="C26" s="148"/>
      <c r="D26" s="141" t="s">
        <v>37</v>
      </c>
      <c r="E26" s="142" t="s">
        <v>37</v>
      </c>
      <c r="F26" s="143" t="s">
        <v>28</v>
      </c>
      <c r="G26" s="143" t="s">
        <v>28</v>
      </c>
      <c r="H26" s="143" t="s">
        <v>28</v>
      </c>
      <c r="I26" s="151"/>
      <c r="J26" s="145"/>
    </row>
    <row r="27" spans="1:14" s="129" customFormat="1" ht="18.600000000000001" customHeight="1" x14ac:dyDescent="0.15">
      <c r="A27" s="146">
        <f t="shared" si="0"/>
        <v>42462</v>
      </c>
      <c r="B27" s="147">
        <f t="shared" si="1"/>
        <v>42462</v>
      </c>
      <c r="C27" s="148"/>
      <c r="D27" s="149" t="s">
        <v>37</v>
      </c>
      <c r="E27" s="150" t="s">
        <v>37</v>
      </c>
      <c r="F27" s="143" t="s">
        <v>28</v>
      </c>
      <c r="G27" s="143" t="s">
        <v>28</v>
      </c>
      <c r="H27" s="143" t="s">
        <v>28</v>
      </c>
      <c r="I27" s="151"/>
      <c r="J27" s="145"/>
    </row>
    <row r="28" spans="1:14" s="129" customFormat="1" ht="18.600000000000001" customHeight="1" x14ac:dyDescent="0.15">
      <c r="A28" s="146">
        <f t="shared" si="0"/>
        <v>42463</v>
      </c>
      <c r="B28" s="147">
        <f t="shared" si="1"/>
        <v>42463</v>
      </c>
      <c r="C28" s="148"/>
      <c r="D28" s="149" t="s">
        <v>37</v>
      </c>
      <c r="E28" s="150" t="s">
        <v>37</v>
      </c>
      <c r="F28" s="143" t="s">
        <v>28</v>
      </c>
      <c r="G28" s="143" t="s">
        <v>28</v>
      </c>
      <c r="H28" s="143" t="s">
        <v>28</v>
      </c>
      <c r="I28" s="151"/>
      <c r="J28" s="145"/>
    </row>
    <row r="29" spans="1:14" s="129" customFormat="1" ht="18.600000000000001" customHeight="1" x14ac:dyDescent="0.15">
      <c r="A29" s="146">
        <f t="shared" si="0"/>
        <v>42464</v>
      </c>
      <c r="B29" s="147">
        <f t="shared" si="1"/>
        <v>42464</v>
      </c>
      <c r="C29" s="148"/>
      <c r="D29" s="149" t="s">
        <v>37</v>
      </c>
      <c r="E29" s="150" t="s">
        <v>37</v>
      </c>
      <c r="F29" s="143" t="s">
        <v>28</v>
      </c>
      <c r="G29" s="143" t="s">
        <v>28</v>
      </c>
      <c r="H29" s="143" t="s">
        <v>28</v>
      </c>
      <c r="I29" s="151"/>
      <c r="J29" s="145"/>
    </row>
    <row r="30" spans="1:14" s="129" customFormat="1" ht="18.600000000000001" customHeight="1" x14ac:dyDescent="0.15">
      <c r="A30" s="152">
        <f t="shared" si="0"/>
        <v>42465</v>
      </c>
      <c r="B30" s="153">
        <f t="shared" si="1"/>
        <v>42465</v>
      </c>
      <c r="C30" s="154"/>
      <c r="D30" s="155" t="s">
        <v>37</v>
      </c>
      <c r="E30" s="156" t="s">
        <v>37</v>
      </c>
      <c r="F30" s="157" t="s">
        <v>28</v>
      </c>
      <c r="G30" s="157" t="s">
        <v>28</v>
      </c>
      <c r="H30" s="157" t="s">
        <v>28</v>
      </c>
      <c r="I30" s="158"/>
      <c r="J30" s="159"/>
    </row>
    <row r="31" spans="1:14" s="129" customFormat="1" ht="18.600000000000001" customHeight="1" x14ac:dyDescent="0.15">
      <c r="A31" s="146">
        <f t="shared" si="0"/>
        <v>42466</v>
      </c>
      <c r="B31" s="147">
        <f t="shared" si="1"/>
        <v>42466</v>
      </c>
      <c r="C31" s="148"/>
      <c r="D31" s="141" t="s">
        <v>37</v>
      </c>
      <c r="E31" s="142" t="s">
        <v>37</v>
      </c>
      <c r="F31" s="143" t="s">
        <v>28</v>
      </c>
      <c r="G31" s="143" t="s">
        <v>28</v>
      </c>
      <c r="H31" s="143" t="s">
        <v>28</v>
      </c>
      <c r="I31" s="151"/>
      <c r="J31" s="145"/>
    </row>
    <row r="32" spans="1:14" s="129" customFormat="1" ht="18.600000000000001" customHeight="1" x14ac:dyDescent="0.15">
      <c r="A32" s="146">
        <f t="shared" si="0"/>
        <v>42467</v>
      </c>
      <c r="B32" s="147">
        <f t="shared" si="1"/>
        <v>42467</v>
      </c>
      <c r="C32" s="148"/>
      <c r="D32" s="149" t="s">
        <v>37</v>
      </c>
      <c r="E32" s="150" t="s">
        <v>37</v>
      </c>
      <c r="F32" s="143" t="s">
        <v>28</v>
      </c>
      <c r="G32" s="143" t="s">
        <v>28</v>
      </c>
      <c r="H32" s="143" t="s">
        <v>28</v>
      </c>
      <c r="I32" s="151"/>
      <c r="J32" s="145"/>
    </row>
    <row r="33" spans="1:11" s="129" customFormat="1" ht="18.600000000000001" customHeight="1" x14ac:dyDescent="0.15">
      <c r="A33" s="146">
        <f t="shared" si="0"/>
        <v>42468</v>
      </c>
      <c r="B33" s="147">
        <f t="shared" si="1"/>
        <v>42468</v>
      </c>
      <c r="C33" s="148"/>
      <c r="D33" s="149" t="s">
        <v>37</v>
      </c>
      <c r="E33" s="150" t="s">
        <v>37</v>
      </c>
      <c r="F33" s="143" t="s">
        <v>28</v>
      </c>
      <c r="G33" s="143" t="s">
        <v>28</v>
      </c>
      <c r="H33" s="143" t="s">
        <v>28</v>
      </c>
      <c r="I33" s="151"/>
      <c r="J33" s="145"/>
    </row>
    <row r="34" spans="1:11" s="129" customFormat="1" ht="18.600000000000001" customHeight="1" x14ac:dyDescent="0.15">
      <c r="A34" s="173">
        <f t="shared" si="0"/>
        <v>42469</v>
      </c>
      <c r="B34" s="174">
        <f t="shared" si="1"/>
        <v>42469</v>
      </c>
      <c r="C34" s="175"/>
      <c r="D34" s="149" t="s">
        <v>37</v>
      </c>
      <c r="E34" s="150" t="s">
        <v>37</v>
      </c>
      <c r="F34" s="143" t="s">
        <v>28</v>
      </c>
      <c r="G34" s="143" t="s">
        <v>28</v>
      </c>
      <c r="H34" s="143" t="s">
        <v>28</v>
      </c>
      <c r="I34" s="151"/>
      <c r="J34" s="145"/>
    </row>
    <row r="35" spans="1:11" s="176" customFormat="1" ht="18.600000000000001" customHeight="1" x14ac:dyDescent="0.15">
      <c r="A35" s="167">
        <f t="shared" si="0"/>
        <v>42470</v>
      </c>
      <c r="B35" s="168">
        <f t="shared" si="1"/>
        <v>42470</v>
      </c>
      <c r="C35" s="169"/>
      <c r="D35" s="155" t="s">
        <v>37</v>
      </c>
      <c r="E35" s="156" t="s">
        <v>37</v>
      </c>
      <c r="F35" s="157" t="s">
        <v>28</v>
      </c>
      <c r="G35" s="157" t="s">
        <v>28</v>
      </c>
      <c r="H35" s="157" t="s">
        <v>28</v>
      </c>
      <c r="I35" s="158"/>
      <c r="J35" s="159"/>
    </row>
    <row r="36" spans="1:11" s="129" customFormat="1" ht="15.75" customHeight="1" x14ac:dyDescent="0.15">
      <c r="A36" s="177" t="s">
        <v>26</v>
      </c>
      <c r="B36" s="178" t="s">
        <v>27</v>
      </c>
      <c r="D36" s="179"/>
      <c r="E36" s="137"/>
      <c r="F36" s="137"/>
      <c r="G36" s="137"/>
      <c r="H36" s="137"/>
      <c r="I36" s="137"/>
      <c r="J36" s="180"/>
      <c r="K36" s="160"/>
    </row>
    <row r="37" spans="1:11" s="129" customFormat="1" ht="15.95" customHeight="1" x14ac:dyDescent="0.15">
      <c r="A37" s="181" t="s">
        <v>26</v>
      </c>
      <c r="B37" s="182" t="s">
        <v>41</v>
      </c>
      <c r="D37" s="183"/>
      <c r="F37" s="184"/>
      <c r="G37" s="184"/>
      <c r="J37" s="160"/>
      <c r="K37" s="160"/>
    </row>
    <row r="38" spans="1:11" ht="16.5" customHeight="1" x14ac:dyDescent="0.15">
      <c r="A38" s="181" t="s">
        <v>26</v>
      </c>
      <c r="B38" s="185" t="s">
        <v>39</v>
      </c>
    </row>
    <row r="40" spans="1:11" x14ac:dyDescent="0.15">
      <c r="A40" s="186" t="s">
        <v>50</v>
      </c>
      <c r="D40" s="186"/>
      <c r="E40" s="186"/>
      <c r="F40" s="186"/>
      <c r="G40" s="186"/>
    </row>
    <row r="43" spans="1:11" ht="19.5" customHeight="1" x14ac:dyDescent="0.15"/>
  </sheetData>
  <mergeCells count="1">
    <mergeCell ref="I1:J1"/>
  </mergeCells>
  <phoneticPr fontId="9"/>
  <printOptions horizontalCentered="1"/>
  <pageMargins left="0.19685039370078741" right="0.19685039370078741" top="0.19685039370078741" bottom="0" header="0.19685039370078741" footer="0"/>
  <pageSetup paperSize="9" scale="85" orientation="landscape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zoomScale="80" zoomScaleNormal="80" zoomScaleSheetLayoutView="85" workbookViewId="0"/>
  </sheetViews>
  <sheetFormatPr defaultColWidth="9" defaultRowHeight="13.5" x14ac:dyDescent="0.15"/>
  <cols>
    <col min="1" max="2" width="5.625" style="126" customWidth="1"/>
    <col min="3" max="3" width="11.625" style="126" customWidth="1"/>
    <col min="4" max="5" width="21.375" style="126" customWidth="1"/>
    <col min="6" max="6" width="12.125" style="126" customWidth="1"/>
    <col min="7" max="8" width="12" style="126" customWidth="1"/>
    <col min="9" max="9" width="37.375" style="126" customWidth="1"/>
    <col min="10" max="10" width="7.625" style="126" customWidth="1"/>
    <col min="11" max="16384" width="9" style="126"/>
  </cols>
  <sheetData>
    <row r="1" spans="1:14" ht="16.5" customHeight="1" x14ac:dyDescent="0.15">
      <c r="A1" s="188" t="s">
        <v>90</v>
      </c>
      <c r="I1" s="398"/>
      <c r="J1" s="398"/>
    </row>
    <row r="2" spans="1:14" ht="9" customHeight="1" x14ac:dyDescent="0.15">
      <c r="A2" s="125"/>
      <c r="I2" s="202"/>
      <c r="J2" s="202"/>
    </row>
    <row r="3" spans="1:14" s="129" customFormat="1" ht="24.75" customHeight="1" x14ac:dyDescent="0.15">
      <c r="A3" s="128" t="s">
        <v>88</v>
      </c>
      <c r="F3" s="130" t="s">
        <v>98</v>
      </c>
      <c r="G3" s="130"/>
      <c r="H3" s="130"/>
      <c r="I3" s="131"/>
      <c r="J3" s="131"/>
    </row>
    <row r="4" spans="1:14" s="137" customFormat="1" ht="30" customHeight="1" x14ac:dyDescent="0.15">
      <c r="A4" s="132" t="s">
        <v>36</v>
      </c>
      <c r="B4" s="132" t="s">
        <v>0</v>
      </c>
      <c r="C4" s="133" t="s">
        <v>35</v>
      </c>
      <c r="D4" s="134" t="s">
        <v>16</v>
      </c>
      <c r="E4" s="135" t="s">
        <v>15</v>
      </c>
      <c r="F4" s="135" t="s">
        <v>34</v>
      </c>
      <c r="G4" s="135" t="s">
        <v>33</v>
      </c>
      <c r="H4" s="136" t="s">
        <v>32</v>
      </c>
      <c r="I4" s="134" t="s">
        <v>31</v>
      </c>
      <c r="J4" s="132" t="s">
        <v>30</v>
      </c>
    </row>
    <row r="5" spans="1:14" s="129" customFormat="1" ht="18.600000000000001" customHeight="1" x14ac:dyDescent="0.15">
      <c r="A5" s="138">
        <v>42440</v>
      </c>
      <c r="B5" s="139">
        <f>A5</f>
        <v>42440</v>
      </c>
      <c r="C5" s="216"/>
      <c r="D5" s="217" t="s">
        <v>93</v>
      </c>
      <c r="E5" s="218" t="s">
        <v>95</v>
      </c>
      <c r="F5" s="219">
        <v>4.1666666666666664E-2</v>
      </c>
      <c r="G5" s="220">
        <v>0.33333333333333331</v>
      </c>
      <c r="H5" s="143" t="s">
        <v>28</v>
      </c>
      <c r="I5" s="144"/>
      <c r="J5" s="238" t="s">
        <v>71</v>
      </c>
    </row>
    <row r="6" spans="1:14" s="129" customFormat="1" ht="18.600000000000001" customHeight="1" x14ac:dyDescent="0.15">
      <c r="A6" s="146">
        <f t="shared" ref="A6:B21" si="0">A5+1</f>
        <v>42441</v>
      </c>
      <c r="B6" s="147">
        <f t="shared" si="0"/>
        <v>42441</v>
      </c>
      <c r="C6" s="41" t="s">
        <v>72</v>
      </c>
      <c r="D6" s="26" t="s">
        <v>75</v>
      </c>
      <c r="E6" s="221" t="s">
        <v>78</v>
      </c>
      <c r="F6" s="222" t="s">
        <v>28</v>
      </c>
      <c r="G6" s="223" t="s">
        <v>28</v>
      </c>
      <c r="H6" s="143" t="s">
        <v>28</v>
      </c>
      <c r="I6" s="151"/>
      <c r="J6" s="145"/>
    </row>
    <row r="7" spans="1:14" s="129" customFormat="1" ht="18.600000000000001" customHeight="1" x14ac:dyDescent="0.15">
      <c r="A7" s="146">
        <f t="shared" si="0"/>
        <v>42442</v>
      </c>
      <c r="B7" s="147">
        <f t="shared" si="0"/>
        <v>42442</v>
      </c>
      <c r="C7" s="41" t="s">
        <v>72</v>
      </c>
      <c r="D7" s="224" t="s">
        <v>77</v>
      </c>
      <c r="E7" s="221" t="s">
        <v>78</v>
      </c>
      <c r="F7" s="222" t="s">
        <v>28</v>
      </c>
      <c r="G7" s="223" t="s">
        <v>28</v>
      </c>
      <c r="H7" s="143" t="s">
        <v>28</v>
      </c>
      <c r="I7" s="151"/>
      <c r="J7" s="145"/>
    </row>
    <row r="8" spans="1:14" s="129" customFormat="1" ht="18.600000000000001" customHeight="1" x14ac:dyDescent="0.15">
      <c r="A8" s="146">
        <f t="shared" si="0"/>
        <v>42443</v>
      </c>
      <c r="B8" s="147">
        <f t="shared" si="0"/>
        <v>42443</v>
      </c>
      <c r="C8" s="41"/>
      <c r="D8" s="24" t="s">
        <v>92</v>
      </c>
      <c r="E8" s="225" t="s">
        <v>94</v>
      </c>
      <c r="F8" s="226">
        <v>4.1666666666666664E-2</v>
      </c>
      <c r="G8" s="220">
        <v>0.33333333333333331</v>
      </c>
      <c r="H8" s="143" t="s">
        <v>29</v>
      </c>
      <c r="I8" s="237"/>
      <c r="J8" s="238" t="s">
        <v>71</v>
      </c>
    </row>
    <row r="9" spans="1:14" s="129" customFormat="1" ht="18.600000000000001" customHeight="1" x14ac:dyDescent="0.15">
      <c r="A9" s="152">
        <f t="shared" si="0"/>
        <v>42444</v>
      </c>
      <c r="B9" s="153">
        <f t="shared" si="0"/>
        <v>42444</v>
      </c>
      <c r="C9" s="77"/>
      <c r="D9" s="14" t="s">
        <v>92</v>
      </c>
      <c r="E9" s="227" t="s">
        <v>94</v>
      </c>
      <c r="F9" s="228">
        <v>4.1666666666666664E-2</v>
      </c>
      <c r="G9" s="229">
        <v>0.33333333333333331</v>
      </c>
      <c r="H9" s="243" t="s">
        <v>29</v>
      </c>
      <c r="I9" s="154"/>
      <c r="J9" s="239" t="s">
        <v>71</v>
      </c>
    </row>
    <row r="10" spans="1:14" s="129" customFormat="1" ht="18.600000000000001" customHeight="1" x14ac:dyDescent="0.15">
      <c r="A10" s="146">
        <f t="shared" si="0"/>
        <v>42445</v>
      </c>
      <c r="B10" s="147">
        <f t="shared" si="0"/>
        <v>42445</v>
      </c>
      <c r="C10" s="71"/>
      <c r="D10" s="25" t="s">
        <v>92</v>
      </c>
      <c r="E10" s="230" t="s">
        <v>94</v>
      </c>
      <c r="F10" s="231">
        <v>4.1666666666666664E-2</v>
      </c>
      <c r="G10" s="220">
        <v>0.33333333333333331</v>
      </c>
      <c r="H10" s="143" t="s">
        <v>29</v>
      </c>
      <c r="I10" s="148"/>
      <c r="J10" s="238" t="s">
        <v>62</v>
      </c>
      <c r="K10" s="160"/>
      <c r="L10" s="160"/>
      <c r="M10" s="160"/>
      <c r="N10" s="160"/>
    </row>
    <row r="11" spans="1:14" s="129" customFormat="1" ht="18.600000000000001" customHeight="1" x14ac:dyDescent="0.15">
      <c r="A11" s="146">
        <f t="shared" si="0"/>
        <v>42446</v>
      </c>
      <c r="B11" s="147">
        <f t="shared" si="0"/>
        <v>42446</v>
      </c>
      <c r="C11" s="41"/>
      <c r="D11" s="224" t="s">
        <v>92</v>
      </c>
      <c r="E11" s="221" t="s">
        <v>94</v>
      </c>
      <c r="F11" s="226">
        <v>4.1666666666666664E-2</v>
      </c>
      <c r="G11" s="220">
        <v>0.33333333333333331</v>
      </c>
      <c r="H11" s="143" t="s">
        <v>29</v>
      </c>
      <c r="I11" s="151"/>
      <c r="J11" s="238" t="s">
        <v>71</v>
      </c>
      <c r="K11" s="160"/>
      <c r="L11" s="160"/>
      <c r="M11" s="160"/>
      <c r="N11" s="160"/>
    </row>
    <row r="12" spans="1:14" s="129" customFormat="1" ht="18.600000000000001" customHeight="1" x14ac:dyDescent="0.15">
      <c r="A12" s="146">
        <f t="shared" si="0"/>
        <v>42447</v>
      </c>
      <c r="B12" s="147">
        <f t="shared" si="0"/>
        <v>42447</v>
      </c>
      <c r="C12" s="41" t="s">
        <v>73</v>
      </c>
      <c r="D12" s="224" t="s">
        <v>77</v>
      </c>
      <c r="E12" s="221" t="s">
        <v>78</v>
      </c>
      <c r="F12" s="222" t="s">
        <v>28</v>
      </c>
      <c r="G12" s="223" t="s">
        <v>28</v>
      </c>
      <c r="H12" s="143" t="s">
        <v>28</v>
      </c>
      <c r="I12" s="151"/>
      <c r="J12" s="238" t="s">
        <v>62</v>
      </c>
      <c r="K12" s="160"/>
      <c r="L12" s="160"/>
      <c r="M12" s="160"/>
      <c r="N12" s="160"/>
    </row>
    <row r="13" spans="1:14" s="129" customFormat="1" ht="18.600000000000001" customHeight="1" x14ac:dyDescent="0.15">
      <c r="A13" s="146">
        <f t="shared" si="0"/>
        <v>42448</v>
      </c>
      <c r="B13" s="147">
        <f t="shared" si="0"/>
        <v>42448</v>
      </c>
      <c r="C13" s="41" t="s">
        <v>63</v>
      </c>
      <c r="D13" s="26" t="s">
        <v>76</v>
      </c>
      <c r="E13" s="84" t="s">
        <v>74</v>
      </c>
      <c r="F13" s="226" t="s">
        <v>29</v>
      </c>
      <c r="G13" s="220" t="s">
        <v>29</v>
      </c>
      <c r="H13" s="244" t="s">
        <v>29</v>
      </c>
      <c r="I13" s="151"/>
      <c r="J13" s="238"/>
      <c r="K13" s="160"/>
      <c r="L13" s="160"/>
      <c r="M13" s="160"/>
      <c r="N13" s="160"/>
    </row>
    <row r="14" spans="1:14" s="129" customFormat="1" ht="18.600000000000001" customHeight="1" x14ac:dyDescent="0.15">
      <c r="A14" s="152">
        <f t="shared" si="0"/>
        <v>42449</v>
      </c>
      <c r="B14" s="153">
        <f t="shared" si="0"/>
        <v>42449</v>
      </c>
      <c r="C14" s="112" t="s">
        <v>63</v>
      </c>
      <c r="D14" s="14" t="s">
        <v>76</v>
      </c>
      <c r="E14" s="62" t="s">
        <v>74</v>
      </c>
      <c r="F14" s="228" t="s">
        <v>29</v>
      </c>
      <c r="G14" s="229" t="s">
        <v>29</v>
      </c>
      <c r="H14" s="157" t="s">
        <v>29</v>
      </c>
      <c r="I14" s="158"/>
      <c r="J14" s="239"/>
      <c r="K14" s="160"/>
      <c r="L14" s="160"/>
      <c r="M14" s="160"/>
      <c r="N14" s="160"/>
    </row>
    <row r="15" spans="1:14" s="129" customFormat="1" ht="18.600000000000001" customHeight="1" x14ac:dyDescent="0.15">
      <c r="A15" s="146">
        <f t="shared" si="0"/>
        <v>42450</v>
      </c>
      <c r="B15" s="147">
        <f t="shared" si="0"/>
        <v>42450</v>
      </c>
      <c r="C15" s="41" t="s">
        <v>63</v>
      </c>
      <c r="D15" s="25" t="s">
        <v>76</v>
      </c>
      <c r="E15" s="230" t="s">
        <v>74</v>
      </c>
      <c r="F15" s="231" t="s">
        <v>29</v>
      </c>
      <c r="G15" s="220" t="s">
        <v>29</v>
      </c>
      <c r="H15" s="143" t="s">
        <v>29</v>
      </c>
      <c r="I15" s="151"/>
      <c r="J15" s="238"/>
      <c r="K15" s="160"/>
      <c r="L15" s="160"/>
      <c r="M15" s="160"/>
      <c r="N15" s="160"/>
    </row>
    <row r="16" spans="1:14" s="129" customFormat="1" ht="18.600000000000001" customHeight="1" x14ac:dyDescent="0.15">
      <c r="A16" s="146">
        <f t="shared" si="0"/>
        <v>42451</v>
      </c>
      <c r="B16" s="147">
        <f t="shared" si="0"/>
        <v>42451</v>
      </c>
      <c r="C16" s="41"/>
      <c r="D16" s="24" t="s">
        <v>92</v>
      </c>
      <c r="E16" s="225" t="s">
        <v>94</v>
      </c>
      <c r="F16" s="226">
        <v>4.1666666666666664E-2</v>
      </c>
      <c r="G16" s="220">
        <v>0.33333333333333331</v>
      </c>
      <c r="H16" s="143" t="s">
        <v>29</v>
      </c>
      <c r="I16" s="237"/>
      <c r="J16" s="238" t="s">
        <v>71</v>
      </c>
      <c r="K16" s="160"/>
      <c r="L16" s="160"/>
      <c r="M16" s="160"/>
      <c r="N16" s="160"/>
    </row>
    <row r="17" spans="1:14" s="129" customFormat="1" ht="18.600000000000001" customHeight="1" x14ac:dyDescent="0.15">
      <c r="A17" s="146">
        <f t="shared" si="0"/>
        <v>42452</v>
      </c>
      <c r="B17" s="147">
        <f t="shared" si="0"/>
        <v>42452</v>
      </c>
      <c r="C17" s="41"/>
      <c r="D17" s="24" t="s">
        <v>92</v>
      </c>
      <c r="E17" s="225" t="s">
        <v>94</v>
      </c>
      <c r="F17" s="226">
        <v>4.1666666666666664E-2</v>
      </c>
      <c r="G17" s="220">
        <v>0.33333333333333331</v>
      </c>
      <c r="H17" s="143" t="s">
        <v>29</v>
      </c>
      <c r="I17" s="237"/>
      <c r="J17" s="238" t="s">
        <v>71</v>
      </c>
      <c r="K17" s="160"/>
      <c r="L17" s="160"/>
      <c r="M17" s="160"/>
      <c r="N17" s="160"/>
    </row>
    <row r="18" spans="1:14" s="129" customFormat="1" ht="18.600000000000001" customHeight="1" x14ac:dyDescent="0.15">
      <c r="A18" s="146">
        <f t="shared" si="0"/>
        <v>42453</v>
      </c>
      <c r="B18" s="147">
        <f t="shared" si="0"/>
        <v>42453</v>
      </c>
      <c r="C18" s="71"/>
      <c r="D18" s="24" t="s">
        <v>92</v>
      </c>
      <c r="E18" s="225" t="s">
        <v>94</v>
      </c>
      <c r="F18" s="226">
        <v>4.1666666666666664E-2</v>
      </c>
      <c r="G18" s="220">
        <v>0.33333333333333331</v>
      </c>
      <c r="H18" s="143" t="s">
        <v>29</v>
      </c>
      <c r="I18" s="237"/>
      <c r="J18" s="238" t="s">
        <v>71</v>
      </c>
      <c r="K18" s="160"/>
      <c r="L18" s="160"/>
      <c r="M18" s="160"/>
      <c r="N18" s="160"/>
    </row>
    <row r="19" spans="1:14" s="129" customFormat="1" ht="18.600000000000001" customHeight="1" x14ac:dyDescent="0.15">
      <c r="A19" s="152">
        <f t="shared" si="0"/>
        <v>42454</v>
      </c>
      <c r="B19" s="153">
        <f t="shared" si="0"/>
        <v>42454</v>
      </c>
      <c r="C19" s="77"/>
      <c r="D19" s="14" t="s">
        <v>92</v>
      </c>
      <c r="E19" s="227" t="s">
        <v>94</v>
      </c>
      <c r="F19" s="228">
        <v>4.1666666666666664E-2</v>
      </c>
      <c r="G19" s="229">
        <v>0.33333333333333331</v>
      </c>
      <c r="H19" s="243" t="s">
        <v>29</v>
      </c>
      <c r="I19" s="154"/>
      <c r="J19" s="239" t="s">
        <v>71</v>
      </c>
    </row>
    <row r="20" spans="1:14" s="129" customFormat="1" ht="18.600000000000001" customHeight="1" x14ac:dyDescent="0.15">
      <c r="A20" s="146">
        <f t="shared" si="0"/>
        <v>42455</v>
      </c>
      <c r="B20" s="147">
        <f t="shared" si="0"/>
        <v>42455</v>
      </c>
      <c r="C20" s="41" t="s">
        <v>63</v>
      </c>
      <c r="D20" s="25" t="s">
        <v>76</v>
      </c>
      <c r="E20" s="230" t="s">
        <v>74</v>
      </c>
      <c r="F20" s="231" t="s">
        <v>29</v>
      </c>
      <c r="G20" s="220" t="s">
        <v>29</v>
      </c>
      <c r="H20" s="143" t="s">
        <v>29</v>
      </c>
      <c r="I20" s="151"/>
      <c r="J20" s="238"/>
    </row>
    <row r="21" spans="1:14" s="129" customFormat="1" ht="18.600000000000001" customHeight="1" x14ac:dyDescent="0.15">
      <c r="A21" s="146">
        <f t="shared" si="0"/>
        <v>42456</v>
      </c>
      <c r="B21" s="147">
        <f t="shared" si="0"/>
        <v>42456</v>
      </c>
      <c r="C21" s="41" t="s">
        <v>72</v>
      </c>
      <c r="D21" s="224" t="s">
        <v>77</v>
      </c>
      <c r="E21" s="221" t="s">
        <v>78</v>
      </c>
      <c r="F21" s="222" t="s">
        <v>28</v>
      </c>
      <c r="G21" s="223" t="s">
        <v>28</v>
      </c>
      <c r="H21" s="143" t="s">
        <v>28</v>
      </c>
      <c r="I21" s="151"/>
      <c r="J21" s="238"/>
    </row>
    <row r="22" spans="1:14" s="129" customFormat="1" ht="18.600000000000001" customHeight="1" x14ac:dyDescent="0.15">
      <c r="A22" s="146">
        <f t="shared" ref="A22:B35" si="1">A21+1</f>
        <v>42457</v>
      </c>
      <c r="B22" s="147">
        <f t="shared" si="1"/>
        <v>42457</v>
      </c>
      <c r="C22" s="71"/>
      <c r="D22" s="24" t="s">
        <v>92</v>
      </c>
      <c r="E22" s="225" t="s">
        <v>94</v>
      </c>
      <c r="F22" s="226">
        <v>4.1666666666666664E-2</v>
      </c>
      <c r="G22" s="220">
        <v>0.33333333333333331</v>
      </c>
      <c r="H22" s="143" t="s">
        <v>28</v>
      </c>
      <c r="I22" s="151"/>
      <c r="J22" s="238" t="s">
        <v>62</v>
      </c>
    </row>
    <row r="23" spans="1:14" s="129" customFormat="1" ht="18.600000000000001" customHeight="1" x14ac:dyDescent="0.15">
      <c r="A23" s="146">
        <f t="shared" si="1"/>
        <v>42458</v>
      </c>
      <c r="B23" s="147">
        <f t="shared" si="1"/>
        <v>42458</v>
      </c>
      <c r="C23" s="71"/>
      <c r="D23" s="24" t="s">
        <v>92</v>
      </c>
      <c r="E23" s="225" t="s">
        <v>94</v>
      </c>
      <c r="F23" s="226">
        <v>4.1666666666666664E-2</v>
      </c>
      <c r="G23" s="220">
        <v>0.33333333333333331</v>
      </c>
      <c r="H23" s="143" t="s">
        <v>28</v>
      </c>
      <c r="I23" s="151"/>
      <c r="J23" s="238" t="s">
        <v>62</v>
      </c>
    </row>
    <row r="24" spans="1:14" s="129" customFormat="1" ht="18.600000000000001" customHeight="1" x14ac:dyDescent="0.15">
      <c r="A24" s="161">
        <f t="shared" si="1"/>
        <v>42459</v>
      </c>
      <c r="B24" s="162">
        <f t="shared" si="1"/>
        <v>42459</v>
      </c>
      <c r="C24" s="32"/>
      <c r="D24" s="24" t="s">
        <v>92</v>
      </c>
      <c r="E24" s="225" t="s">
        <v>96</v>
      </c>
      <c r="F24" s="226">
        <v>4.1666666666666664E-2</v>
      </c>
      <c r="G24" s="220">
        <v>0.33333333333333331</v>
      </c>
      <c r="H24" s="240">
        <v>1.6666666666666666E-2</v>
      </c>
      <c r="I24" s="163" t="s">
        <v>97</v>
      </c>
      <c r="J24" s="241" t="s">
        <v>62</v>
      </c>
    </row>
    <row r="25" spans="1:14" s="129" customFormat="1" ht="18.600000000000001" customHeight="1" x14ac:dyDescent="0.15">
      <c r="A25" s="167">
        <f t="shared" si="1"/>
        <v>42460</v>
      </c>
      <c r="B25" s="168">
        <f t="shared" si="1"/>
        <v>42460</v>
      </c>
      <c r="C25" s="77"/>
      <c r="D25" s="14" t="s">
        <v>92</v>
      </c>
      <c r="E25" s="62" t="s">
        <v>94</v>
      </c>
      <c r="F25" s="228">
        <v>4.1666666666666664E-2</v>
      </c>
      <c r="G25" s="229">
        <v>0.33333333333333331</v>
      </c>
      <c r="H25" s="170" t="s">
        <v>29</v>
      </c>
      <c r="I25" s="171"/>
      <c r="J25" s="242" t="s">
        <v>62</v>
      </c>
    </row>
    <row r="26" spans="1:14" s="129" customFormat="1" ht="18.600000000000001" customHeight="1" x14ac:dyDescent="0.15">
      <c r="A26" s="146">
        <f t="shared" si="1"/>
        <v>42461</v>
      </c>
      <c r="B26" s="147">
        <f t="shared" si="1"/>
        <v>42461</v>
      </c>
      <c r="C26" s="41"/>
      <c r="D26" s="233" t="s">
        <v>92</v>
      </c>
      <c r="E26" s="234" t="s">
        <v>94</v>
      </c>
      <c r="F26" s="231">
        <v>4.1666666666666664E-2</v>
      </c>
      <c r="G26" s="231">
        <v>0.33333333333333331</v>
      </c>
      <c r="H26" s="143" t="s">
        <v>28</v>
      </c>
      <c r="I26" s="151"/>
      <c r="J26" s="238" t="s">
        <v>62</v>
      </c>
    </row>
    <row r="27" spans="1:14" s="129" customFormat="1" ht="18.600000000000001" customHeight="1" x14ac:dyDescent="0.15">
      <c r="A27" s="146">
        <f t="shared" si="1"/>
        <v>42462</v>
      </c>
      <c r="B27" s="147">
        <f t="shared" si="1"/>
        <v>42462</v>
      </c>
      <c r="C27" s="41" t="s">
        <v>63</v>
      </c>
      <c r="D27" s="232" t="s">
        <v>76</v>
      </c>
      <c r="E27" s="221" t="s">
        <v>74</v>
      </c>
      <c r="F27" s="226" t="s">
        <v>29</v>
      </c>
      <c r="G27" s="226" t="s">
        <v>29</v>
      </c>
      <c r="H27" s="143" t="s">
        <v>29</v>
      </c>
      <c r="I27" s="151"/>
      <c r="J27" s="238"/>
    </row>
    <row r="28" spans="1:14" s="129" customFormat="1" ht="18.600000000000001" customHeight="1" x14ac:dyDescent="0.15">
      <c r="A28" s="146">
        <f t="shared" si="1"/>
        <v>42463</v>
      </c>
      <c r="B28" s="147">
        <f t="shared" si="1"/>
        <v>42463</v>
      </c>
      <c r="C28" s="41" t="s">
        <v>72</v>
      </c>
      <c r="D28" s="198" t="s">
        <v>76</v>
      </c>
      <c r="E28" s="221" t="s">
        <v>78</v>
      </c>
      <c r="F28" s="222" t="s">
        <v>28</v>
      </c>
      <c r="G28" s="223" t="s">
        <v>28</v>
      </c>
      <c r="H28" s="143" t="s">
        <v>28</v>
      </c>
      <c r="I28" s="151"/>
      <c r="J28" s="238"/>
    </row>
    <row r="29" spans="1:14" s="129" customFormat="1" ht="18.600000000000001" customHeight="1" x14ac:dyDescent="0.15">
      <c r="A29" s="146">
        <f t="shared" si="1"/>
        <v>42464</v>
      </c>
      <c r="B29" s="147">
        <f t="shared" si="1"/>
        <v>42464</v>
      </c>
      <c r="C29" s="41"/>
      <c r="D29" s="198" t="s">
        <v>92</v>
      </c>
      <c r="E29" s="84" t="s">
        <v>94</v>
      </c>
      <c r="F29" s="226">
        <v>4.1666666666666664E-2</v>
      </c>
      <c r="G29" s="220">
        <v>0.33333333333333331</v>
      </c>
      <c r="H29" s="143" t="s">
        <v>28</v>
      </c>
      <c r="I29" s="151"/>
      <c r="J29" s="238" t="s">
        <v>62</v>
      </c>
    </row>
    <row r="30" spans="1:14" s="129" customFormat="1" ht="18.600000000000001" customHeight="1" x14ac:dyDescent="0.15">
      <c r="A30" s="152">
        <f t="shared" si="1"/>
        <v>42465</v>
      </c>
      <c r="B30" s="153">
        <f t="shared" si="1"/>
        <v>42465</v>
      </c>
      <c r="C30" s="77"/>
      <c r="D30" s="14" t="s">
        <v>92</v>
      </c>
      <c r="E30" s="62" t="s">
        <v>94</v>
      </c>
      <c r="F30" s="228">
        <v>4.1666666666666664E-2</v>
      </c>
      <c r="G30" s="229">
        <v>0.33333333333333331</v>
      </c>
      <c r="H30" s="157" t="s">
        <v>28</v>
      </c>
      <c r="I30" s="158"/>
      <c r="J30" s="239" t="s">
        <v>62</v>
      </c>
    </row>
    <row r="31" spans="1:14" s="129" customFormat="1" ht="18.600000000000001" customHeight="1" x14ac:dyDescent="0.15">
      <c r="A31" s="146">
        <f t="shared" si="1"/>
        <v>42466</v>
      </c>
      <c r="B31" s="147">
        <f t="shared" si="1"/>
        <v>42466</v>
      </c>
      <c r="C31" s="71"/>
      <c r="D31" s="24" t="s">
        <v>92</v>
      </c>
      <c r="E31" s="225" t="s">
        <v>94</v>
      </c>
      <c r="F31" s="231">
        <v>4.1666666666666664E-2</v>
      </c>
      <c r="G31" s="220">
        <v>0.33333333333333331</v>
      </c>
      <c r="H31" s="143" t="s">
        <v>28</v>
      </c>
      <c r="I31" s="151"/>
      <c r="J31" s="238" t="s">
        <v>62</v>
      </c>
    </row>
    <row r="32" spans="1:14" s="129" customFormat="1" ht="18.600000000000001" customHeight="1" x14ac:dyDescent="0.15">
      <c r="A32" s="146">
        <f t="shared" si="1"/>
        <v>42467</v>
      </c>
      <c r="B32" s="147">
        <f t="shared" si="1"/>
        <v>42467</v>
      </c>
      <c r="C32" s="71"/>
      <c r="D32" s="24" t="s">
        <v>92</v>
      </c>
      <c r="E32" s="225" t="s">
        <v>94</v>
      </c>
      <c r="F32" s="226">
        <v>4.1666666666666664E-2</v>
      </c>
      <c r="G32" s="220">
        <v>0.33333333333333331</v>
      </c>
      <c r="H32" s="143" t="s">
        <v>28</v>
      </c>
      <c r="I32" s="151"/>
      <c r="J32" s="238" t="s">
        <v>62</v>
      </c>
    </row>
    <row r="33" spans="1:11" s="129" customFormat="1" ht="18.600000000000001" customHeight="1" x14ac:dyDescent="0.15">
      <c r="A33" s="146">
        <f t="shared" si="1"/>
        <v>42468</v>
      </c>
      <c r="B33" s="147">
        <f t="shared" si="1"/>
        <v>42468</v>
      </c>
      <c r="C33" s="41"/>
      <c r="D33" s="198" t="s">
        <v>92</v>
      </c>
      <c r="E33" s="221" t="s">
        <v>94</v>
      </c>
      <c r="F33" s="226">
        <v>4.1666666666666664E-2</v>
      </c>
      <c r="G33" s="220">
        <v>0.33333333333333331</v>
      </c>
      <c r="H33" s="143" t="s">
        <v>28</v>
      </c>
      <c r="I33" s="151"/>
      <c r="J33" s="238" t="s">
        <v>62</v>
      </c>
    </row>
    <row r="34" spans="1:11" s="129" customFormat="1" ht="18.600000000000001" customHeight="1" x14ac:dyDescent="0.15">
      <c r="A34" s="173">
        <f t="shared" si="1"/>
        <v>42469</v>
      </c>
      <c r="B34" s="174">
        <f t="shared" si="1"/>
        <v>42469</v>
      </c>
      <c r="C34" s="198" t="s">
        <v>63</v>
      </c>
      <c r="D34" s="232" t="s">
        <v>76</v>
      </c>
      <c r="E34" s="221" t="s">
        <v>74</v>
      </c>
      <c r="F34" s="226" t="s">
        <v>29</v>
      </c>
      <c r="G34" s="226" t="s">
        <v>29</v>
      </c>
      <c r="H34" s="143" t="s">
        <v>29</v>
      </c>
      <c r="I34" s="151"/>
      <c r="J34" s="238"/>
    </row>
    <row r="35" spans="1:11" s="176" customFormat="1" ht="18.600000000000001" customHeight="1" x14ac:dyDescent="0.15">
      <c r="A35" s="167">
        <f t="shared" si="1"/>
        <v>42470</v>
      </c>
      <c r="B35" s="168">
        <f t="shared" si="1"/>
        <v>42470</v>
      </c>
      <c r="C35" s="199" t="s">
        <v>63</v>
      </c>
      <c r="D35" s="235" t="s">
        <v>76</v>
      </c>
      <c r="E35" s="236" t="s">
        <v>74</v>
      </c>
      <c r="F35" s="228" t="s">
        <v>29</v>
      </c>
      <c r="G35" s="228" t="s">
        <v>29</v>
      </c>
      <c r="H35" s="157" t="s">
        <v>29</v>
      </c>
      <c r="I35" s="158"/>
      <c r="J35" s="239"/>
    </row>
    <row r="36" spans="1:11" s="129" customFormat="1" ht="15.75" customHeight="1" x14ac:dyDescent="0.15">
      <c r="A36" s="177" t="s">
        <v>26</v>
      </c>
      <c r="B36" s="178" t="s">
        <v>27</v>
      </c>
      <c r="D36" s="179"/>
      <c r="E36" s="137"/>
      <c r="F36" s="137"/>
      <c r="G36" s="137"/>
      <c r="H36" s="137"/>
      <c r="I36" s="137"/>
      <c r="J36" s="180"/>
      <c r="K36" s="160"/>
    </row>
    <row r="37" spans="1:11" s="129" customFormat="1" ht="15.95" customHeight="1" x14ac:dyDescent="0.15">
      <c r="A37" s="181" t="s">
        <v>26</v>
      </c>
      <c r="B37" s="182" t="s">
        <v>41</v>
      </c>
      <c r="D37" s="183"/>
      <c r="F37" s="184"/>
      <c r="G37" s="184"/>
      <c r="J37" s="160"/>
      <c r="K37" s="160"/>
    </row>
    <row r="38" spans="1:11" ht="16.5" customHeight="1" x14ac:dyDescent="0.15">
      <c r="A38" s="181" t="s">
        <v>26</v>
      </c>
      <c r="B38" s="185" t="s">
        <v>39</v>
      </c>
    </row>
    <row r="40" spans="1:11" x14ac:dyDescent="0.15">
      <c r="A40" s="186" t="s">
        <v>50</v>
      </c>
      <c r="D40" s="186"/>
      <c r="E40" s="186"/>
      <c r="F40" s="186"/>
      <c r="G40" s="186"/>
    </row>
    <row r="43" spans="1:11" ht="19.5" customHeight="1" x14ac:dyDescent="0.15"/>
  </sheetData>
  <mergeCells count="1">
    <mergeCell ref="I1:J1"/>
  </mergeCells>
  <phoneticPr fontId="9"/>
  <printOptions horizontalCentered="1"/>
  <pageMargins left="0.19685039370078741" right="0.19685039370078741" top="0.19685039370078741" bottom="0" header="0.19685039370078741" footer="0"/>
  <pageSetup paperSize="9" scale="85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3"/>
  <sheetViews>
    <sheetView showGridLines="0" view="pageBreakPreview" zoomScale="90" zoomScaleNormal="85" zoomScaleSheetLayoutView="90" workbookViewId="0">
      <selection activeCell="E30" sqref="E30"/>
    </sheetView>
  </sheetViews>
  <sheetFormatPr defaultRowHeight="13.5" x14ac:dyDescent="0.15"/>
  <cols>
    <col min="1" max="1" width="3.625" customWidth="1"/>
    <col min="2" max="2" width="4.875" customWidth="1"/>
    <col min="3" max="3" width="10.5" customWidth="1"/>
    <col min="4" max="5" width="16.125" customWidth="1"/>
    <col min="6" max="6" width="5.375" customWidth="1"/>
    <col min="7" max="7" width="25.625" style="23" customWidth="1"/>
    <col min="8" max="8" width="8.625" customWidth="1"/>
    <col min="9" max="9" width="5.5" customWidth="1"/>
    <col min="10" max="10" width="4.625" customWidth="1"/>
    <col min="11" max="11" width="8.625" customWidth="1"/>
    <col min="12" max="12" width="5.5" customWidth="1"/>
    <col min="13" max="13" width="8.625" customWidth="1"/>
    <col min="14" max="14" width="5.5" customWidth="1"/>
    <col min="15" max="15" width="33.625" customWidth="1"/>
  </cols>
  <sheetData>
    <row r="1" spans="1:18" ht="17.25" customHeight="1" x14ac:dyDescent="0.15">
      <c r="A1" s="187" t="s">
        <v>52</v>
      </c>
      <c r="F1" s="23"/>
      <c r="G1"/>
    </row>
    <row r="2" spans="1:18" ht="9" customHeight="1" x14ac:dyDescent="0.15">
      <c r="A2" s="194"/>
      <c r="F2" s="23"/>
      <c r="G2"/>
    </row>
    <row r="3" spans="1:18" s="194" customFormat="1" ht="21" customHeight="1" x14ac:dyDescent="0.15">
      <c r="A3" s="106" t="s">
        <v>136</v>
      </c>
      <c r="F3" s="105" t="s">
        <v>100</v>
      </c>
      <c r="G3" s="20"/>
      <c r="I3" s="105"/>
      <c r="J3" s="105"/>
      <c r="K3" s="122"/>
      <c r="L3" s="122"/>
      <c r="R3" s="106"/>
    </row>
    <row r="4" spans="1:18" s="194" customFormat="1" ht="15" customHeight="1" x14ac:dyDescent="0.15">
      <c r="A4" s="373" t="s">
        <v>2</v>
      </c>
      <c r="B4" s="373" t="s">
        <v>0</v>
      </c>
      <c r="C4" s="375" t="s">
        <v>54</v>
      </c>
      <c r="D4" s="377" t="s">
        <v>81</v>
      </c>
      <c r="E4" s="378"/>
      <c r="F4" s="379"/>
      <c r="G4" s="380" t="s">
        <v>19</v>
      </c>
      <c r="H4" s="103" t="s">
        <v>53</v>
      </c>
      <c r="I4" s="103"/>
      <c r="J4" s="373" t="s">
        <v>2</v>
      </c>
      <c r="K4" s="370" t="s">
        <v>25</v>
      </c>
      <c r="L4" s="371"/>
      <c r="M4" s="371"/>
      <c r="N4" s="371"/>
      <c r="O4" s="372"/>
    </row>
    <row r="5" spans="1:18" s="194" customFormat="1" ht="14.25" customHeight="1" x14ac:dyDescent="0.15">
      <c r="A5" s="383"/>
      <c r="B5" s="383"/>
      <c r="C5" s="384"/>
      <c r="D5" s="17" t="s">
        <v>24</v>
      </c>
      <c r="E5" s="10" t="s">
        <v>23</v>
      </c>
      <c r="F5" s="53" t="s">
        <v>22</v>
      </c>
      <c r="G5" s="382"/>
      <c r="H5" s="121" t="s">
        <v>6</v>
      </c>
      <c r="I5" s="10" t="s">
        <v>1</v>
      </c>
      <c r="J5" s="383"/>
      <c r="K5" s="17" t="s">
        <v>5</v>
      </c>
      <c r="L5" s="9" t="s">
        <v>1</v>
      </c>
      <c r="M5" s="8" t="s">
        <v>4</v>
      </c>
      <c r="N5" s="10" t="s">
        <v>1</v>
      </c>
      <c r="O5" s="246" t="s">
        <v>21</v>
      </c>
    </row>
    <row r="6" spans="1:18" s="194" customFormat="1" ht="15.6" customHeight="1" x14ac:dyDescent="0.15">
      <c r="A6" s="247">
        <v>42440</v>
      </c>
      <c r="B6" s="33" t="s">
        <v>134</v>
      </c>
      <c r="C6" s="38"/>
      <c r="D6" s="249" t="s">
        <v>11</v>
      </c>
      <c r="E6" s="36" t="s">
        <v>11</v>
      </c>
      <c r="F6" s="120"/>
      <c r="G6" s="250"/>
      <c r="H6" s="230" t="s">
        <v>3</v>
      </c>
      <c r="I6" s="36"/>
      <c r="J6" s="94">
        <f>A6</f>
        <v>42440</v>
      </c>
      <c r="K6" s="248" t="s">
        <v>3</v>
      </c>
      <c r="L6" s="251"/>
      <c r="M6" s="25" t="s">
        <v>3</v>
      </c>
      <c r="N6" s="252"/>
      <c r="O6" s="96"/>
    </row>
    <row r="7" spans="1:18" s="194" customFormat="1" ht="15.6" customHeight="1" x14ac:dyDescent="0.15">
      <c r="A7" s="68">
        <f t="shared" ref="A7:A35" si="0">A6+1</f>
        <v>42441</v>
      </c>
      <c r="B7" s="37" t="s">
        <v>135</v>
      </c>
      <c r="C7" s="38"/>
      <c r="D7" s="71" t="s">
        <v>11</v>
      </c>
      <c r="E7" s="40" t="s">
        <v>11</v>
      </c>
      <c r="F7" s="111"/>
      <c r="G7" s="110"/>
      <c r="H7" s="69" t="s">
        <v>3</v>
      </c>
      <c r="I7" s="40"/>
      <c r="J7" s="68">
        <f t="shared" ref="J7:J25" si="1">J6+1</f>
        <v>42441</v>
      </c>
      <c r="K7" s="248" t="s">
        <v>3</v>
      </c>
      <c r="L7" s="42"/>
      <c r="M7" s="39" t="s">
        <v>3</v>
      </c>
      <c r="N7" s="206"/>
      <c r="O7" s="70"/>
    </row>
    <row r="8" spans="1:18" s="194" customFormat="1" ht="15.6" customHeight="1" x14ac:dyDescent="0.15">
      <c r="A8" s="68">
        <f t="shared" si="0"/>
        <v>42442</v>
      </c>
      <c r="B8" s="33" t="s">
        <v>103</v>
      </c>
      <c r="C8" s="71"/>
      <c r="D8" s="71" t="s">
        <v>11</v>
      </c>
      <c r="E8" s="40" t="s">
        <v>11</v>
      </c>
      <c r="F8" s="118"/>
      <c r="G8" s="85"/>
      <c r="H8" s="203" t="s">
        <v>3</v>
      </c>
      <c r="I8" s="40"/>
      <c r="J8" s="68">
        <f t="shared" si="1"/>
        <v>42442</v>
      </c>
      <c r="K8" s="248" t="s">
        <v>3</v>
      </c>
      <c r="L8" s="42"/>
      <c r="M8" s="39" t="s">
        <v>3</v>
      </c>
      <c r="N8" s="206"/>
      <c r="O8" s="70"/>
    </row>
    <row r="9" spans="1:18" s="194" customFormat="1" ht="15.6" customHeight="1" x14ac:dyDescent="0.15">
      <c r="A9" s="68">
        <f t="shared" si="0"/>
        <v>42443</v>
      </c>
      <c r="B9" s="37" t="s">
        <v>104</v>
      </c>
      <c r="C9" s="41"/>
      <c r="D9" s="71" t="s">
        <v>11</v>
      </c>
      <c r="E9" s="40" t="s">
        <v>11</v>
      </c>
      <c r="F9" s="118"/>
      <c r="G9" s="70"/>
      <c r="H9" s="203" t="s">
        <v>3</v>
      </c>
      <c r="I9" s="40"/>
      <c r="J9" s="68">
        <f t="shared" si="1"/>
        <v>42443</v>
      </c>
      <c r="K9" s="248" t="s">
        <v>3</v>
      </c>
      <c r="L9" s="42"/>
      <c r="M9" s="39" t="s">
        <v>3</v>
      </c>
      <c r="N9" s="206"/>
      <c r="O9" s="70"/>
    </row>
    <row r="10" spans="1:18" s="194" customFormat="1" ht="15.6" customHeight="1" x14ac:dyDescent="0.15">
      <c r="A10" s="65">
        <f t="shared" si="0"/>
        <v>42444</v>
      </c>
      <c r="B10" s="33" t="s">
        <v>105</v>
      </c>
      <c r="C10" s="112"/>
      <c r="D10" s="71" t="s">
        <v>11</v>
      </c>
      <c r="E10" s="40" t="s">
        <v>11</v>
      </c>
      <c r="F10" s="114"/>
      <c r="G10" s="109"/>
      <c r="H10" s="76" t="s">
        <v>3</v>
      </c>
      <c r="I10" s="74"/>
      <c r="J10" s="65">
        <f t="shared" si="1"/>
        <v>42444</v>
      </c>
      <c r="K10" s="248" t="s">
        <v>3</v>
      </c>
      <c r="L10" s="113"/>
      <c r="M10" s="75" t="s">
        <v>3</v>
      </c>
      <c r="N10" s="195"/>
      <c r="O10" s="63"/>
    </row>
    <row r="11" spans="1:18" s="194" customFormat="1" ht="15.6" customHeight="1" x14ac:dyDescent="0.15">
      <c r="A11" s="94">
        <f t="shared" si="0"/>
        <v>42445</v>
      </c>
      <c r="B11" s="37" t="s">
        <v>106</v>
      </c>
      <c r="C11" s="34"/>
      <c r="D11" s="71" t="s">
        <v>11</v>
      </c>
      <c r="E11" s="40" t="s">
        <v>11</v>
      </c>
      <c r="F11" s="120"/>
      <c r="G11" s="250"/>
      <c r="H11" s="253" t="s">
        <v>12</v>
      </c>
      <c r="I11" s="36"/>
      <c r="J11" s="94">
        <f t="shared" si="1"/>
        <v>42445</v>
      </c>
      <c r="K11" s="248" t="s">
        <v>3</v>
      </c>
      <c r="L11" s="45"/>
      <c r="M11" s="25" t="s">
        <v>3</v>
      </c>
      <c r="N11" s="254"/>
      <c r="O11" s="96"/>
    </row>
    <row r="12" spans="1:18" s="194" customFormat="1" ht="15.6" customHeight="1" x14ac:dyDescent="0.15">
      <c r="A12" s="68">
        <f t="shared" si="0"/>
        <v>42446</v>
      </c>
      <c r="B12" s="33" t="s">
        <v>107</v>
      </c>
      <c r="C12" s="38"/>
      <c r="D12" s="71" t="s">
        <v>11</v>
      </c>
      <c r="E12" s="40" t="s">
        <v>11</v>
      </c>
      <c r="F12" s="111"/>
      <c r="G12" s="110"/>
      <c r="H12" s="69" t="s">
        <v>3</v>
      </c>
      <c r="I12" s="40"/>
      <c r="J12" s="68">
        <f t="shared" si="1"/>
        <v>42446</v>
      </c>
      <c r="K12" s="248" t="s">
        <v>3</v>
      </c>
      <c r="L12" s="42"/>
      <c r="M12" s="39" t="s">
        <v>3</v>
      </c>
      <c r="N12" s="206"/>
      <c r="O12" s="70"/>
    </row>
    <row r="13" spans="1:18" s="194" customFormat="1" ht="15.6" customHeight="1" x14ac:dyDescent="0.15">
      <c r="A13" s="68">
        <f t="shared" si="0"/>
        <v>42447</v>
      </c>
      <c r="B13" s="37" t="s">
        <v>101</v>
      </c>
      <c r="C13" s="38"/>
      <c r="D13" s="71" t="s">
        <v>11</v>
      </c>
      <c r="E13" s="40" t="s">
        <v>11</v>
      </c>
      <c r="F13" s="111"/>
      <c r="G13" s="110"/>
      <c r="H13" s="69" t="s">
        <v>3</v>
      </c>
      <c r="I13" s="40"/>
      <c r="J13" s="68">
        <f t="shared" si="1"/>
        <v>42447</v>
      </c>
      <c r="K13" s="248" t="s">
        <v>3</v>
      </c>
      <c r="L13" s="42"/>
      <c r="M13" s="39" t="s">
        <v>3</v>
      </c>
      <c r="N13" s="206"/>
      <c r="O13" s="70"/>
    </row>
    <row r="14" spans="1:18" s="194" customFormat="1" ht="15.6" customHeight="1" x14ac:dyDescent="0.15">
      <c r="A14" s="68">
        <f t="shared" si="0"/>
        <v>42448</v>
      </c>
      <c r="B14" s="33" t="s">
        <v>102</v>
      </c>
      <c r="C14" s="38"/>
      <c r="D14" s="71" t="s">
        <v>11</v>
      </c>
      <c r="E14" s="40" t="s">
        <v>11</v>
      </c>
      <c r="F14" s="111"/>
      <c r="G14" s="110"/>
      <c r="H14" s="69" t="s">
        <v>3</v>
      </c>
      <c r="I14" s="40"/>
      <c r="J14" s="68">
        <f t="shared" si="1"/>
        <v>42448</v>
      </c>
      <c r="K14" s="248" t="s">
        <v>3</v>
      </c>
      <c r="L14" s="42"/>
      <c r="M14" s="39" t="s">
        <v>3</v>
      </c>
      <c r="N14" s="206"/>
      <c r="O14" s="70"/>
    </row>
    <row r="15" spans="1:18" s="194" customFormat="1" ht="15.6" customHeight="1" x14ac:dyDescent="0.15">
      <c r="A15" s="65">
        <f t="shared" si="0"/>
        <v>42449</v>
      </c>
      <c r="B15" s="37" t="s">
        <v>103</v>
      </c>
      <c r="C15" s="91"/>
      <c r="D15" s="77" t="s">
        <v>11</v>
      </c>
      <c r="E15" s="74" t="s">
        <v>11</v>
      </c>
      <c r="F15" s="114"/>
      <c r="G15" s="109"/>
      <c r="H15" s="90" t="s">
        <v>12</v>
      </c>
      <c r="I15" s="74"/>
      <c r="J15" s="65">
        <f t="shared" si="1"/>
        <v>42449</v>
      </c>
      <c r="K15" s="248" t="s">
        <v>3</v>
      </c>
      <c r="L15" s="113"/>
      <c r="M15" s="75" t="s">
        <v>3</v>
      </c>
      <c r="N15" s="195"/>
      <c r="O15" s="63"/>
    </row>
    <row r="16" spans="1:18" s="194" customFormat="1" ht="15.6" customHeight="1" x14ac:dyDescent="0.15">
      <c r="A16" s="68">
        <f t="shared" si="0"/>
        <v>42450</v>
      </c>
      <c r="B16" s="33" t="s">
        <v>104</v>
      </c>
      <c r="C16" s="71"/>
      <c r="D16" s="71" t="s">
        <v>11</v>
      </c>
      <c r="E16" s="40" t="s">
        <v>11</v>
      </c>
      <c r="F16" s="111"/>
      <c r="G16" s="110"/>
      <c r="H16" s="87" t="s">
        <v>12</v>
      </c>
      <c r="I16" s="40"/>
      <c r="J16" s="68">
        <f t="shared" si="1"/>
        <v>42450</v>
      </c>
      <c r="K16" s="248" t="s">
        <v>3</v>
      </c>
      <c r="L16" s="42"/>
      <c r="M16" s="39" t="s">
        <v>3</v>
      </c>
      <c r="N16" s="206"/>
      <c r="O16" s="70"/>
    </row>
    <row r="17" spans="1:15" s="194" customFormat="1" ht="15.6" customHeight="1" x14ac:dyDescent="0.15">
      <c r="A17" s="68">
        <f t="shared" si="0"/>
        <v>42451</v>
      </c>
      <c r="B17" s="37" t="s">
        <v>105</v>
      </c>
      <c r="C17" s="41"/>
      <c r="D17" s="71" t="s">
        <v>11</v>
      </c>
      <c r="E17" s="40" t="s">
        <v>11</v>
      </c>
      <c r="F17" s="111"/>
      <c r="G17" s="110"/>
      <c r="H17" s="69" t="s">
        <v>3</v>
      </c>
      <c r="I17" s="40"/>
      <c r="J17" s="68">
        <f t="shared" si="1"/>
        <v>42451</v>
      </c>
      <c r="K17" s="248" t="s">
        <v>3</v>
      </c>
      <c r="L17" s="42"/>
      <c r="M17" s="39" t="s">
        <v>3</v>
      </c>
      <c r="N17" s="206"/>
      <c r="O17" s="70"/>
    </row>
    <row r="18" spans="1:15" s="194" customFormat="1" ht="15.6" customHeight="1" x14ac:dyDescent="0.15">
      <c r="A18" s="68">
        <f t="shared" si="0"/>
        <v>42452</v>
      </c>
      <c r="B18" s="33" t="s">
        <v>106</v>
      </c>
      <c r="C18" s="41"/>
      <c r="D18" s="71" t="s">
        <v>11</v>
      </c>
      <c r="E18" s="40" t="s">
        <v>11</v>
      </c>
      <c r="F18" s="111"/>
      <c r="G18" s="110"/>
      <c r="H18" s="69" t="s">
        <v>3</v>
      </c>
      <c r="I18" s="40"/>
      <c r="J18" s="68">
        <f t="shared" si="1"/>
        <v>42452</v>
      </c>
      <c r="K18" s="248" t="s">
        <v>3</v>
      </c>
      <c r="L18" s="42"/>
      <c r="M18" s="39" t="s">
        <v>3</v>
      </c>
      <c r="N18" s="206"/>
      <c r="O18" s="70"/>
    </row>
    <row r="19" spans="1:15" s="194" customFormat="1" ht="15.6" customHeight="1" x14ac:dyDescent="0.15">
      <c r="A19" s="68">
        <f t="shared" si="0"/>
        <v>42453</v>
      </c>
      <c r="B19" s="37" t="s">
        <v>107</v>
      </c>
      <c r="C19" s="71"/>
      <c r="D19" s="71" t="s">
        <v>11</v>
      </c>
      <c r="E19" s="40" t="s">
        <v>11</v>
      </c>
      <c r="F19" s="111"/>
      <c r="G19" s="110"/>
      <c r="H19" s="87" t="s">
        <v>12</v>
      </c>
      <c r="I19" s="40"/>
      <c r="J19" s="68">
        <f t="shared" si="1"/>
        <v>42453</v>
      </c>
      <c r="K19" s="248" t="s">
        <v>3</v>
      </c>
      <c r="L19" s="42"/>
      <c r="M19" s="39" t="s">
        <v>3</v>
      </c>
      <c r="N19" s="206"/>
      <c r="O19" s="70"/>
    </row>
    <row r="20" spans="1:15" s="194" customFormat="1" ht="15.6" customHeight="1" x14ac:dyDescent="0.15">
      <c r="A20" s="65">
        <f t="shared" si="0"/>
        <v>42454</v>
      </c>
      <c r="B20" s="33" t="s">
        <v>101</v>
      </c>
      <c r="C20" s="266"/>
      <c r="D20" s="77" t="s">
        <v>11</v>
      </c>
      <c r="E20" s="74" t="s">
        <v>11</v>
      </c>
      <c r="F20" s="114"/>
      <c r="G20" s="109"/>
      <c r="H20" s="76" t="s">
        <v>3</v>
      </c>
      <c r="I20" s="74"/>
      <c r="J20" s="65">
        <f t="shared" si="1"/>
        <v>42454</v>
      </c>
      <c r="K20" s="248" t="s">
        <v>3</v>
      </c>
      <c r="L20" s="113"/>
      <c r="M20" s="75" t="s">
        <v>3</v>
      </c>
      <c r="N20" s="195"/>
      <c r="O20" s="63"/>
    </row>
    <row r="21" spans="1:15" s="194" customFormat="1" ht="15.6" customHeight="1" x14ac:dyDescent="0.15">
      <c r="A21" s="255">
        <f t="shared" si="0"/>
        <v>42455</v>
      </c>
      <c r="B21" s="37" t="s">
        <v>102</v>
      </c>
      <c r="C21" s="38"/>
      <c r="D21" s="249" t="s">
        <v>11</v>
      </c>
      <c r="E21" s="36" t="s">
        <v>11</v>
      </c>
      <c r="F21" s="120"/>
      <c r="G21" s="250"/>
      <c r="H21" s="230" t="s">
        <v>3</v>
      </c>
      <c r="I21" s="36"/>
      <c r="J21" s="94">
        <f t="shared" si="1"/>
        <v>42455</v>
      </c>
      <c r="K21" s="248" t="s">
        <v>3</v>
      </c>
      <c r="L21" s="45"/>
      <c r="M21" s="25" t="s">
        <v>3</v>
      </c>
      <c r="N21" s="254"/>
      <c r="O21" s="96"/>
    </row>
    <row r="22" spans="1:15" s="194" customFormat="1" ht="15.6" customHeight="1" x14ac:dyDescent="0.15">
      <c r="A22" s="35">
        <f t="shared" si="0"/>
        <v>42456</v>
      </c>
      <c r="B22" s="33" t="s">
        <v>103</v>
      </c>
      <c r="C22" s="38"/>
      <c r="D22" s="71" t="s">
        <v>11</v>
      </c>
      <c r="E22" s="40" t="s">
        <v>11</v>
      </c>
      <c r="F22" s="111"/>
      <c r="G22" s="110"/>
      <c r="H22" s="69" t="s">
        <v>3</v>
      </c>
      <c r="I22" s="40"/>
      <c r="J22" s="68">
        <f t="shared" si="1"/>
        <v>42456</v>
      </c>
      <c r="K22" s="248" t="s">
        <v>3</v>
      </c>
      <c r="L22" s="42"/>
      <c r="M22" s="39" t="s">
        <v>3</v>
      </c>
      <c r="N22" s="206"/>
      <c r="O22" s="70"/>
    </row>
    <row r="23" spans="1:15" s="194" customFormat="1" ht="15.6" customHeight="1" x14ac:dyDescent="0.15">
      <c r="A23" s="35">
        <f t="shared" si="0"/>
        <v>42457</v>
      </c>
      <c r="B23" s="37" t="s">
        <v>104</v>
      </c>
      <c r="C23" s="41"/>
      <c r="D23" s="71" t="s">
        <v>11</v>
      </c>
      <c r="E23" s="40" t="s">
        <v>11</v>
      </c>
      <c r="F23" s="111"/>
      <c r="G23" s="110"/>
      <c r="H23" s="69" t="s">
        <v>3</v>
      </c>
      <c r="I23" s="40"/>
      <c r="J23" s="68">
        <f t="shared" si="1"/>
        <v>42457</v>
      </c>
      <c r="K23" s="248" t="s">
        <v>3</v>
      </c>
      <c r="L23" s="42"/>
      <c r="M23" s="39" t="s">
        <v>3</v>
      </c>
      <c r="N23" s="206"/>
      <c r="O23" s="70"/>
    </row>
    <row r="24" spans="1:15" s="194" customFormat="1" ht="15.6" customHeight="1" x14ac:dyDescent="0.15">
      <c r="A24" s="35">
        <f t="shared" si="0"/>
        <v>42458</v>
      </c>
      <c r="B24" s="33" t="s">
        <v>105</v>
      </c>
      <c r="C24" s="41"/>
      <c r="D24" s="71" t="s">
        <v>11</v>
      </c>
      <c r="E24" s="40" t="s">
        <v>11</v>
      </c>
      <c r="F24" s="111"/>
      <c r="G24" s="110"/>
      <c r="H24" s="69" t="s">
        <v>3</v>
      </c>
      <c r="I24" s="40"/>
      <c r="J24" s="68">
        <f t="shared" si="1"/>
        <v>42458</v>
      </c>
      <c r="K24" s="248" t="s">
        <v>3</v>
      </c>
      <c r="L24" s="42"/>
      <c r="M24" s="39" t="s">
        <v>3</v>
      </c>
      <c r="N24" s="206"/>
      <c r="O24" s="70"/>
    </row>
    <row r="25" spans="1:15" s="194" customFormat="1" ht="15.6" customHeight="1" x14ac:dyDescent="0.15">
      <c r="A25" s="35">
        <f t="shared" si="0"/>
        <v>42459</v>
      </c>
      <c r="B25" s="37" t="s">
        <v>106</v>
      </c>
      <c r="C25" s="198"/>
      <c r="D25" s="71" t="s">
        <v>11</v>
      </c>
      <c r="E25" s="40" t="s">
        <v>11</v>
      </c>
      <c r="F25" s="118"/>
      <c r="G25" s="117"/>
      <c r="H25" s="84" t="s">
        <v>3</v>
      </c>
      <c r="I25" s="30"/>
      <c r="J25" s="83">
        <f t="shared" si="1"/>
        <v>42459</v>
      </c>
      <c r="K25" s="248" t="s">
        <v>3</v>
      </c>
      <c r="L25" s="31"/>
      <c r="M25" s="26" t="s">
        <v>3</v>
      </c>
      <c r="N25" s="207"/>
      <c r="O25" s="85"/>
    </row>
    <row r="26" spans="1:15" s="194" customFormat="1" ht="15.6" customHeight="1" x14ac:dyDescent="0.15">
      <c r="A26" s="94">
        <v>1</v>
      </c>
      <c r="B26" s="33" t="s">
        <v>107</v>
      </c>
      <c r="C26" s="38"/>
      <c r="D26" s="249" t="s">
        <v>11</v>
      </c>
      <c r="E26" s="36" t="s">
        <v>11</v>
      </c>
      <c r="F26" s="120"/>
      <c r="G26" s="250"/>
      <c r="H26" s="230" t="s">
        <v>3</v>
      </c>
      <c r="I26" s="36"/>
      <c r="J26" s="94">
        <v>1</v>
      </c>
      <c r="K26" s="248" t="s">
        <v>3</v>
      </c>
      <c r="L26" s="45"/>
      <c r="M26" s="25" t="s">
        <v>3</v>
      </c>
      <c r="N26" s="254"/>
      <c r="O26" s="96"/>
    </row>
    <row r="27" spans="1:15" s="194" customFormat="1" ht="15.6" customHeight="1" x14ac:dyDescent="0.15">
      <c r="A27" s="35">
        <v>2</v>
      </c>
      <c r="B27" s="37" t="s">
        <v>101</v>
      </c>
      <c r="C27" s="38"/>
      <c r="D27" s="16" t="s">
        <v>11</v>
      </c>
      <c r="E27" s="30" t="s">
        <v>11</v>
      </c>
      <c r="F27" s="118"/>
      <c r="G27" s="117"/>
      <c r="H27" s="84" t="s">
        <v>3</v>
      </c>
      <c r="I27" s="30"/>
      <c r="J27" s="35">
        <v>2</v>
      </c>
      <c r="K27" s="248" t="s">
        <v>3</v>
      </c>
      <c r="L27" s="31"/>
      <c r="M27" s="26" t="s">
        <v>3</v>
      </c>
      <c r="N27" s="207"/>
      <c r="O27" s="85"/>
    </row>
    <row r="28" spans="1:15" s="194" customFormat="1" ht="15.6" customHeight="1" x14ac:dyDescent="0.15">
      <c r="A28" s="35">
        <f t="shared" si="0"/>
        <v>3</v>
      </c>
      <c r="B28" s="33" t="s">
        <v>102</v>
      </c>
      <c r="C28" s="198"/>
      <c r="D28" s="71" t="s">
        <v>11</v>
      </c>
      <c r="E28" s="40" t="s">
        <v>11</v>
      </c>
      <c r="F28" s="118"/>
      <c r="G28" s="117"/>
      <c r="H28" s="84" t="s">
        <v>3</v>
      </c>
      <c r="I28" s="30"/>
      <c r="J28" s="35">
        <f t="shared" ref="J28:J35" si="2">J27+1</f>
        <v>3</v>
      </c>
      <c r="K28" s="248" t="s">
        <v>3</v>
      </c>
      <c r="L28" s="31"/>
      <c r="M28" s="26" t="s">
        <v>3</v>
      </c>
      <c r="N28" s="207"/>
      <c r="O28" s="85"/>
    </row>
    <row r="29" spans="1:15" s="194" customFormat="1" ht="15.6" customHeight="1" x14ac:dyDescent="0.15">
      <c r="A29" s="35">
        <f t="shared" si="0"/>
        <v>4</v>
      </c>
      <c r="B29" s="37" t="s">
        <v>103</v>
      </c>
      <c r="C29" s="16"/>
      <c r="D29" s="71" t="s">
        <v>11</v>
      </c>
      <c r="E29" s="40" t="s">
        <v>11</v>
      </c>
      <c r="F29" s="118"/>
      <c r="G29" s="117"/>
      <c r="H29" s="84" t="s">
        <v>3</v>
      </c>
      <c r="I29" s="30"/>
      <c r="J29" s="35">
        <f t="shared" si="2"/>
        <v>4</v>
      </c>
      <c r="K29" s="248" t="s">
        <v>3</v>
      </c>
      <c r="L29" s="31"/>
      <c r="M29" s="26" t="s">
        <v>3</v>
      </c>
      <c r="N29" s="207"/>
      <c r="O29" s="85"/>
    </row>
    <row r="30" spans="1:15" s="194" customFormat="1" ht="15.6" customHeight="1" x14ac:dyDescent="0.15">
      <c r="A30" s="61">
        <f t="shared" si="0"/>
        <v>5</v>
      </c>
      <c r="B30" s="33" t="s">
        <v>104</v>
      </c>
      <c r="C30" s="11"/>
      <c r="D30" s="71" t="s">
        <v>11</v>
      </c>
      <c r="E30" s="40" t="s">
        <v>11</v>
      </c>
      <c r="F30" s="12"/>
      <c r="G30" s="262"/>
      <c r="H30" s="62" t="s">
        <v>3</v>
      </c>
      <c r="I30" s="44"/>
      <c r="J30" s="61">
        <f t="shared" si="2"/>
        <v>5</v>
      </c>
      <c r="K30" s="248" t="s">
        <v>3</v>
      </c>
      <c r="L30" s="13"/>
      <c r="M30" s="14" t="s">
        <v>3</v>
      </c>
      <c r="N30" s="264"/>
      <c r="O30" s="265"/>
    </row>
    <row r="31" spans="1:15" s="194" customFormat="1" ht="15.6" customHeight="1" x14ac:dyDescent="0.15">
      <c r="A31" s="73">
        <f t="shared" si="0"/>
        <v>6</v>
      </c>
      <c r="B31" s="37" t="s">
        <v>105</v>
      </c>
      <c r="C31" s="71"/>
      <c r="D31" s="71" t="s">
        <v>11</v>
      </c>
      <c r="E31" s="40" t="s">
        <v>11</v>
      </c>
      <c r="F31" s="111"/>
      <c r="G31" s="110"/>
      <c r="H31" s="69" t="s">
        <v>3</v>
      </c>
      <c r="I31" s="40"/>
      <c r="J31" s="73">
        <f t="shared" si="2"/>
        <v>6</v>
      </c>
      <c r="K31" s="248" t="s">
        <v>3</v>
      </c>
      <c r="L31" s="42"/>
      <c r="M31" s="39" t="s">
        <v>3</v>
      </c>
      <c r="N31" s="206"/>
      <c r="O31" s="70"/>
    </row>
    <row r="32" spans="1:15" s="194" customFormat="1" ht="15.6" customHeight="1" x14ac:dyDescent="0.15">
      <c r="A32" s="35">
        <f t="shared" si="0"/>
        <v>7</v>
      </c>
      <c r="B32" s="33" t="s">
        <v>106</v>
      </c>
      <c r="C32" s="41"/>
      <c r="D32" s="71" t="s">
        <v>11</v>
      </c>
      <c r="E32" s="40" t="s">
        <v>11</v>
      </c>
      <c r="F32" s="111"/>
      <c r="G32" s="110"/>
      <c r="H32" s="69" t="s">
        <v>3</v>
      </c>
      <c r="I32" s="40"/>
      <c r="J32" s="35">
        <f t="shared" si="2"/>
        <v>7</v>
      </c>
      <c r="K32" s="248" t="s">
        <v>3</v>
      </c>
      <c r="L32" s="42"/>
      <c r="M32" s="39" t="s">
        <v>3</v>
      </c>
      <c r="N32" s="206"/>
      <c r="O32" s="70"/>
    </row>
    <row r="33" spans="1:15" s="194" customFormat="1" ht="15.6" customHeight="1" x14ac:dyDescent="0.15">
      <c r="A33" s="35">
        <f t="shared" si="0"/>
        <v>8</v>
      </c>
      <c r="B33" s="37" t="s">
        <v>107</v>
      </c>
      <c r="C33" s="38"/>
      <c r="D33" s="71" t="s">
        <v>11</v>
      </c>
      <c r="E33" s="40" t="s">
        <v>11</v>
      </c>
      <c r="F33" s="111"/>
      <c r="G33" s="110"/>
      <c r="H33" s="69" t="s">
        <v>3</v>
      </c>
      <c r="I33" s="40"/>
      <c r="J33" s="35">
        <f t="shared" si="2"/>
        <v>8</v>
      </c>
      <c r="K33" s="248" t="s">
        <v>3</v>
      </c>
      <c r="L33" s="42"/>
      <c r="M33" s="39" t="s">
        <v>3</v>
      </c>
      <c r="N33" s="206"/>
      <c r="O33" s="70"/>
    </row>
    <row r="34" spans="1:15" s="194" customFormat="1" ht="15.6" customHeight="1" x14ac:dyDescent="0.15">
      <c r="A34" s="35">
        <f t="shared" si="0"/>
        <v>9</v>
      </c>
      <c r="B34" s="33" t="s">
        <v>101</v>
      </c>
      <c r="C34" s="38"/>
      <c r="D34" s="71" t="s">
        <v>11</v>
      </c>
      <c r="E34" s="40" t="s">
        <v>11</v>
      </c>
      <c r="F34" s="111"/>
      <c r="G34" s="110"/>
      <c r="H34" s="69" t="s">
        <v>3</v>
      </c>
      <c r="I34" s="40"/>
      <c r="J34" s="35">
        <f t="shared" si="2"/>
        <v>9</v>
      </c>
      <c r="K34" s="248" t="s">
        <v>3</v>
      </c>
      <c r="L34" s="42"/>
      <c r="M34" s="39" t="s">
        <v>3</v>
      </c>
      <c r="N34" s="206"/>
      <c r="O34" s="70"/>
    </row>
    <row r="35" spans="1:15" s="194" customFormat="1" ht="15.6" customHeight="1" x14ac:dyDescent="0.15">
      <c r="A35" s="65">
        <f t="shared" si="0"/>
        <v>10</v>
      </c>
      <c r="B35" s="37" t="s">
        <v>102</v>
      </c>
      <c r="C35" s="11"/>
      <c r="D35" s="71" t="s">
        <v>11</v>
      </c>
      <c r="E35" s="40" t="s">
        <v>11</v>
      </c>
      <c r="F35" s="12"/>
      <c r="G35" s="109"/>
      <c r="H35" s="62" t="s">
        <v>3</v>
      </c>
      <c r="I35" s="12"/>
      <c r="J35" s="65">
        <f t="shared" si="2"/>
        <v>10</v>
      </c>
      <c r="K35" s="248" t="s">
        <v>3</v>
      </c>
      <c r="L35" s="13"/>
      <c r="M35" s="14" t="s">
        <v>3</v>
      </c>
      <c r="N35" s="200"/>
      <c r="O35" s="63"/>
    </row>
    <row r="36" spans="1:15" s="194" customFormat="1" ht="26.25" customHeight="1" x14ac:dyDescent="0.15">
      <c r="A36" s="28"/>
      <c r="B36" s="6"/>
      <c r="C36" s="6"/>
      <c r="D36" s="6"/>
      <c r="E36" s="6"/>
      <c r="F36" s="6"/>
      <c r="G36" s="21"/>
      <c r="H36" s="6"/>
      <c r="I36" s="6"/>
      <c r="J36" s="6"/>
      <c r="K36" s="7"/>
      <c r="L36" s="7"/>
      <c r="M36" s="7"/>
      <c r="N36" s="7"/>
      <c r="O36" s="6"/>
    </row>
    <row r="37" spans="1:15" s="194" customFormat="1" ht="22.5" customHeight="1" x14ac:dyDescent="0.15">
      <c r="A37" s="28"/>
      <c r="B37" s="6"/>
      <c r="C37" s="6"/>
      <c r="D37" s="6"/>
      <c r="E37" s="6"/>
      <c r="F37" s="6"/>
      <c r="G37" s="21"/>
      <c r="H37" s="6"/>
      <c r="I37" s="6"/>
      <c r="J37" s="6"/>
      <c r="K37" s="7"/>
      <c r="L37" s="7"/>
      <c r="M37" s="7"/>
      <c r="N37" s="7"/>
      <c r="O37" s="6"/>
    </row>
    <row r="38" spans="1:15" s="4" customFormat="1" ht="9" customHeight="1" x14ac:dyDescent="0.2">
      <c r="A38" s="56"/>
      <c r="C38" s="196"/>
      <c r="D38" s="15"/>
      <c r="G38" s="22"/>
      <c r="M38" s="5"/>
      <c r="N38" s="5"/>
      <c r="O38" s="2"/>
    </row>
    <row r="39" spans="1:15" s="4" customFormat="1" ht="12" customHeight="1" x14ac:dyDescent="0.2">
      <c r="A39" s="56"/>
      <c r="C39" s="196"/>
      <c r="D39" s="15"/>
      <c r="G39" s="22"/>
      <c r="M39" s="5"/>
      <c r="N39" s="5"/>
      <c r="O39" s="2"/>
    </row>
    <row r="40" spans="1:15" s="194" customFormat="1" ht="15" customHeight="1" x14ac:dyDescent="0.15">
      <c r="A40" s="15" t="s">
        <v>42</v>
      </c>
      <c r="C40" s="1"/>
      <c r="D40" s="1"/>
      <c r="G40" s="20"/>
    </row>
    <row r="41" spans="1:15" s="194" customFormat="1" ht="15" customHeight="1" x14ac:dyDescent="0.15">
      <c r="A41" s="124" t="s">
        <v>43</v>
      </c>
      <c r="C41" s="1"/>
      <c r="D41" s="1"/>
      <c r="G41" s="20"/>
    </row>
    <row r="42" spans="1:15" x14ac:dyDescent="0.15">
      <c r="A42" s="124" t="s">
        <v>83</v>
      </c>
      <c r="G42"/>
    </row>
    <row r="43" spans="1:15" ht="9.75" customHeight="1" x14ac:dyDescent="0.15">
      <c r="A43" s="18"/>
      <c r="G43"/>
    </row>
    <row r="44" spans="1:15" x14ac:dyDescent="0.15">
      <c r="A44" s="123" t="s">
        <v>49</v>
      </c>
      <c r="B44" s="123"/>
      <c r="C44" s="123"/>
      <c r="D44" s="123"/>
      <c r="E44" s="123"/>
      <c r="F44" s="123"/>
      <c r="G44" s="123"/>
    </row>
    <row r="49" spans="1:15" s="4" customFormat="1" ht="15" customHeight="1" x14ac:dyDescent="0.2">
      <c r="A49" s="56"/>
      <c r="C49" s="196"/>
      <c r="D49" s="15"/>
      <c r="G49" s="22"/>
      <c r="M49" s="5"/>
      <c r="N49" s="5"/>
      <c r="O49" s="2"/>
    </row>
    <row r="50" spans="1:15" s="194" customFormat="1" ht="15" customHeight="1" x14ac:dyDescent="0.15">
      <c r="A50" s="55"/>
      <c r="C50" s="1"/>
      <c r="D50" s="1"/>
      <c r="G50" s="20"/>
    </row>
    <row r="51" spans="1:15" s="194" customFormat="1" ht="15" customHeight="1" x14ac:dyDescent="0.15">
      <c r="A51" s="18"/>
      <c r="C51" s="1"/>
      <c r="D51" s="1"/>
      <c r="G51" s="20"/>
    </row>
    <row r="52" spans="1:15" x14ac:dyDescent="0.15">
      <c r="G52"/>
    </row>
    <row r="53" spans="1:15" x14ac:dyDescent="0.15">
      <c r="G53"/>
    </row>
  </sheetData>
  <mergeCells count="7">
    <mergeCell ref="K4:O4"/>
    <mergeCell ref="A4:A5"/>
    <mergeCell ref="B4:B5"/>
    <mergeCell ref="C4:C5"/>
    <mergeCell ref="D4:F4"/>
    <mergeCell ref="G4:G5"/>
    <mergeCell ref="J4:J5"/>
  </mergeCells>
  <phoneticPr fontId="9"/>
  <pageMargins left="0.27559055118110237" right="0.19685039370078741" top="0.19685039370078741" bottom="0.19685039370078741" header="0" footer="0"/>
  <pageSetup paperSize="9" scale="87" orientation="landscape" horizontalDpi="300" verticalDpi="300" r:id="rId1"/>
  <headerFooter alignWithMargins="0"/>
  <rowBreaks count="1" manualBreakCount="1">
    <brk id="44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11月</vt:lpstr>
      <vt:lpstr>10月</vt:lpstr>
      <vt:lpstr>9月</vt:lpstr>
      <vt:lpstr>8月</vt:lpstr>
      <vt:lpstr>7月</vt:lpstr>
      <vt:lpstr>6月</vt:lpstr>
      <vt:lpstr>5月</vt:lpstr>
      <vt:lpstr>①間接部門（一般社員・契約社員）</vt:lpstr>
      <vt:lpstr>①記入例</vt:lpstr>
      <vt:lpstr>②間接部門（チーフ以上）、営業部長・エリア長</vt:lpstr>
      <vt:lpstr>②記入例</vt:lpstr>
      <vt:lpstr>③間接部門（時給者）</vt:lpstr>
      <vt:lpstr>③記入例</vt:lpstr>
      <vt:lpstr>5月 (2)</vt:lpstr>
      <vt:lpstr>'10月'!Print_Area</vt:lpstr>
      <vt:lpstr>'11月'!Print_Area</vt:lpstr>
      <vt:lpstr>'①間接部門（一般社員・契約社員）'!Print_Area</vt:lpstr>
      <vt:lpstr>①記入例!Print_Area</vt:lpstr>
      <vt:lpstr>'②間接部門（チーフ以上）、営業部長・エリア長'!Print_Area</vt:lpstr>
      <vt:lpstr>②記入例!Print_Area</vt:lpstr>
      <vt:lpstr>'③間接部門（時給者）'!Print_Area</vt:lpstr>
      <vt:lpstr>③記入例!Print_Area</vt:lpstr>
      <vt:lpstr>'5月'!Print_Area</vt:lpstr>
      <vt:lpstr>'5月 (2)'!Print_Area</vt:lpstr>
      <vt:lpstr>'6月'!Print_Area</vt:lpstr>
      <vt:lpstr>'7月'!Print_Area</vt:lpstr>
      <vt:lpstr>'8月'!Print_Area</vt:lpstr>
      <vt:lpstr>'9月'!Print_Area</vt:lpstr>
    </vt:vector>
  </TitlesOfParts>
  <Company>（株）ﾏﾙﾊﾝｺｰﾎﾟﾚｰｼｮﾝ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静岡支社 経理</dc:creator>
  <cp:lastModifiedBy>mtokyo013</cp:lastModifiedBy>
  <cp:lastPrinted>2021-03-10T02:36:59Z</cp:lastPrinted>
  <dcterms:created xsi:type="dcterms:W3CDTF">1998-12-11T02:26:21Z</dcterms:created>
  <dcterms:modified xsi:type="dcterms:W3CDTF">2021-03-10T02:39:00Z</dcterms:modified>
</cp:coreProperties>
</file>