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30fc0ab57ad2dd/デスクトップ/"/>
    </mc:Choice>
  </mc:AlternateContent>
  <xr:revisionPtr revIDLastSave="20" documentId="14_{ADC6CCCC-F876-4559-9FB0-9647F5EC3C69}" xr6:coauthVersionLast="47" xr6:coauthVersionMax="47" xr10:uidLastSave="{D7CBD316-B02A-4693-9DC3-D339F5AD82F7}"/>
  <bookViews>
    <workbookView xWindow="-18000" yWindow="-16320" windowWidth="29040" windowHeight="15720" activeTab="1" xr2:uid="{B47DB25D-DEE6-49FA-AFCC-9AE3A92020A0}"/>
  </bookViews>
  <sheets>
    <sheet name="全員" sheetId="1" r:id="rId1"/>
    <sheet name="役員・部長除く" sheetId="2" r:id="rId2"/>
  </sheets>
  <definedNames>
    <definedName name="_xlnm._FilterDatabase" localSheetId="0" hidden="1">全員!$B$4:$J$4</definedName>
    <definedName name="_xlnm._FilterDatabase" localSheetId="1" hidden="1">役員・部長除く!$B$4:$J$4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D12" i="2"/>
  <c r="E12" i="2" s="1"/>
  <c r="F11" i="2"/>
  <c r="D11" i="2"/>
  <c r="E11" i="2" s="1"/>
  <c r="F10" i="2"/>
  <c r="D10" i="2"/>
  <c r="E10" i="2" s="1"/>
  <c r="F9" i="2"/>
  <c r="D9" i="2"/>
  <c r="E9" i="2" s="1"/>
  <c r="F8" i="2"/>
  <c r="D8" i="2"/>
  <c r="E8" i="2" s="1"/>
  <c r="F7" i="2"/>
  <c r="D7" i="2"/>
  <c r="E7" i="2" s="1"/>
  <c r="F6" i="2"/>
  <c r="D6" i="2"/>
  <c r="E6" i="2" s="1"/>
  <c r="F5" i="2"/>
  <c r="D5" i="2"/>
  <c r="E5" i="2" s="1"/>
  <c r="F10" i="1"/>
  <c r="F9" i="1"/>
  <c r="F13" i="1"/>
  <c r="F6" i="1"/>
  <c r="F14" i="1"/>
  <c r="F7" i="1"/>
  <c r="F15" i="1"/>
  <c r="F8" i="1"/>
  <c r="F12" i="1"/>
  <c r="F11" i="1"/>
  <c r="F5" i="1"/>
  <c r="E8" i="1"/>
  <c r="D10" i="1"/>
  <c r="E10" i="1" s="1"/>
  <c r="D9" i="1"/>
  <c r="E9" i="1" s="1"/>
  <c r="D13" i="1"/>
  <c r="E13" i="1" s="1"/>
  <c r="D6" i="1"/>
  <c r="E6" i="1" s="1"/>
  <c r="D14" i="1"/>
  <c r="E14" i="1" s="1"/>
  <c r="D7" i="1"/>
  <c r="E7" i="1" s="1"/>
  <c r="D15" i="1"/>
  <c r="E15" i="1" s="1"/>
  <c r="D8" i="1"/>
  <c r="D12" i="1"/>
  <c r="E12" i="1" s="1"/>
  <c r="D11" i="1"/>
  <c r="E11" i="1" s="1"/>
  <c r="D5" i="1"/>
  <c r="E5" i="1" s="1"/>
</calcChain>
</file>

<file path=xl/sharedStrings.xml><?xml version="1.0" encoding="utf-8"?>
<sst xmlns="http://schemas.openxmlformats.org/spreadsheetml/2006/main" count="119" uniqueCount="43">
  <si>
    <t>橋元　直広</t>
    <phoneticPr fontId="1"/>
  </si>
  <si>
    <t xml:space="preserve">土屋　和彦 </t>
    <phoneticPr fontId="1"/>
  </si>
  <si>
    <t>霜垣　元章</t>
    <phoneticPr fontId="1"/>
  </si>
  <si>
    <t>日浦　健二</t>
    <phoneticPr fontId="1"/>
  </si>
  <si>
    <t xml:space="preserve">栗田　欽章 </t>
    <phoneticPr fontId="1"/>
  </si>
  <si>
    <t>高井　美男</t>
    <phoneticPr fontId="1"/>
  </si>
  <si>
    <t>橋本　修一</t>
    <phoneticPr fontId="1"/>
  </si>
  <si>
    <t>橋本　知明</t>
    <phoneticPr fontId="1"/>
  </si>
  <si>
    <t>濱松　章博</t>
    <phoneticPr fontId="1"/>
  </si>
  <si>
    <t>小山　マリヤ</t>
    <phoneticPr fontId="1"/>
  </si>
  <si>
    <t xml:space="preserve">冬木　清 </t>
    <phoneticPr fontId="1"/>
  </si>
  <si>
    <t>MMI</t>
    <phoneticPr fontId="1"/>
  </si>
  <si>
    <t>ユニット</t>
    <phoneticPr fontId="1"/>
  </si>
  <si>
    <t>東日本カンパニー</t>
    <rPh sb="0" eb="1">
      <t>ヒガシ</t>
    </rPh>
    <rPh sb="1" eb="3">
      <t>ニホン</t>
    </rPh>
    <phoneticPr fontId="1"/>
  </si>
  <si>
    <t>在籍期間</t>
    <rPh sb="0" eb="4">
      <t>ザイセキキカン</t>
    </rPh>
    <phoneticPr fontId="1"/>
  </si>
  <si>
    <t>出向期間満了日
(2年)</t>
    <rPh sb="0" eb="7">
      <t>シュッコウキカンマンリョウビ</t>
    </rPh>
    <rPh sb="10" eb="11">
      <t>ネン</t>
    </rPh>
    <phoneticPr fontId="1"/>
  </si>
  <si>
    <t>出向期間満了日
(4年)</t>
    <rPh sb="0" eb="7">
      <t>シュッコウキカンマンリョウビ</t>
    </rPh>
    <rPh sb="10" eb="11">
      <t>ネン</t>
    </rPh>
    <phoneticPr fontId="1"/>
  </si>
  <si>
    <t>一般</t>
    <rPh sb="0" eb="2">
      <t>イッパン</t>
    </rPh>
    <phoneticPr fontId="1"/>
  </si>
  <si>
    <t>リーダー</t>
    <phoneticPr fontId="1"/>
  </si>
  <si>
    <t>部長</t>
    <rPh sb="0" eb="2">
      <t>ブチョウ</t>
    </rPh>
    <phoneticPr fontId="1"/>
  </si>
  <si>
    <t>MMIでの役職</t>
    <rPh sb="5" eb="7">
      <t>ヤクショク</t>
    </rPh>
    <phoneticPr fontId="1"/>
  </si>
  <si>
    <t>マルハンでの役職</t>
    <rPh sb="6" eb="8">
      <t>ヤクショク</t>
    </rPh>
    <phoneticPr fontId="1"/>
  </si>
  <si>
    <t>エキスパート</t>
    <phoneticPr fontId="1"/>
  </si>
  <si>
    <t>チーフ</t>
    <phoneticPr fontId="1"/>
  </si>
  <si>
    <t>一般（ネクストステージ）</t>
    <rPh sb="0" eb="2">
      <t>イッパン</t>
    </rPh>
    <phoneticPr fontId="1"/>
  </si>
  <si>
    <t>営業部長</t>
    <rPh sb="0" eb="4">
      <t>エイギョウブチョウ</t>
    </rPh>
    <phoneticPr fontId="1"/>
  </si>
  <si>
    <t>氏名</t>
    <rPh sb="0" eb="2">
      <t>シメイ</t>
    </rPh>
    <phoneticPr fontId="1"/>
  </si>
  <si>
    <t>出向の開始日</t>
    <rPh sb="0" eb="2">
      <t>シュッコウ</t>
    </rPh>
    <rPh sb="3" eb="6">
      <t>カイシビ</t>
    </rPh>
    <phoneticPr fontId="1"/>
  </si>
  <si>
    <t>取締役　営業本部長</t>
    <rPh sb="0" eb="3">
      <t>トリシマリヤク</t>
    </rPh>
    <rPh sb="4" eb="9">
      <t>エイギョウホンブチョウ</t>
    </rPh>
    <phoneticPr fontId="1"/>
  </si>
  <si>
    <t>代表取締役社長</t>
    <rPh sb="0" eb="5">
      <t>ダイヒョウトリシマリヤクシャチョウ</t>
    </rPh>
    <phoneticPr fontId="1"/>
  </si>
  <si>
    <t>MMIでの所属</t>
    <rPh sb="5" eb="7">
      <t>ショゾク</t>
    </rPh>
    <phoneticPr fontId="1"/>
  </si>
  <si>
    <t>営業本部</t>
    <rPh sb="0" eb="4">
      <t>エイギョウホンブ</t>
    </rPh>
    <phoneticPr fontId="1"/>
  </si>
  <si>
    <t>営業本部　ビルメンテナンス事業部</t>
    <rPh sb="0" eb="4">
      <t>エイギョウホンブ</t>
    </rPh>
    <rPh sb="13" eb="16">
      <t>ジギョウブ</t>
    </rPh>
    <phoneticPr fontId="1"/>
  </si>
  <si>
    <t>営業本部　ロボティクス事業部</t>
    <rPh sb="0" eb="4">
      <t>エイギョウホンブ</t>
    </rPh>
    <rPh sb="11" eb="14">
      <t>ジギョウブ</t>
    </rPh>
    <phoneticPr fontId="1"/>
  </si>
  <si>
    <t>営業本部　ロボティクス事業部　開発チーム</t>
    <rPh sb="0" eb="4">
      <t>エイギョウホンブ</t>
    </rPh>
    <rPh sb="11" eb="14">
      <t>ジギョウブ</t>
    </rPh>
    <rPh sb="15" eb="17">
      <t>カイハツ</t>
    </rPh>
    <phoneticPr fontId="1"/>
  </si>
  <si>
    <t>営業本部　ロボティクス事業部　営業チーム</t>
    <rPh sb="0" eb="4">
      <t>エイギョウホンブ</t>
    </rPh>
    <rPh sb="11" eb="14">
      <t>ジギョウブ</t>
    </rPh>
    <rPh sb="15" eb="17">
      <t>エイギョウ</t>
    </rPh>
    <phoneticPr fontId="1"/>
  </si>
  <si>
    <t>営業本部　ビルメンテナンス事業部　営業推進チーム</t>
    <rPh sb="0" eb="4">
      <t>エイギョウホンブ</t>
    </rPh>
    <rPh sb="13" eb="16">
      <t>ジギョウブ</t>
    </rPh>
    <rPh sb="17" eb="21">
      <t>エイギョウスイシン</t>
    </rPh>
    <phoneticPr fontId="1"/>
  </si>
  <si>
    <t>営業本部　ビルメンテナンス事業部　事業管理チーム</t>
    <rPh sb="0" eb="4">
      <t>エイギョウホンブ</t>
    </rPh>
    <rPh sb="13" eb="16">
      <t>ジギョウブ</t>
    </rPh>
    <rPh sb="17" eb="21">
      <t>ジギョウカンリ</t>
    </rPh>
    <phoneticPr fontId="1"/>
  </si>
  <si>
    <t>マルハンの出身母体</t>
    <rPh sb="5" eb="7">
      <t>シュッシン</t>
    </rPh>
    <rPh sb="7" eb="9">
      <t>ボタイ</t>
    </rPh>
    <phoneticPr fontId="1"/>
  </si>
  <si>
    <t>マルハン（ワンマル）</t>
    <phoneticPr fontId="1"/>
  </si>
  <si>
    <t>出向者の在籍期間など</t>
    <rPh sb="0" eb="3">
      <t>シュッコウシャ</t>
    </rPh>
    <rPh sb="4" eb="8">
      <t>ザイセキキカン</t>
    </rPh>
    <phoneticPr fontId="1"/>
  </si>
  <si>
    <t>檜垣</t>
    <rPh sb="0" eb="2">
      <t>ヒガキ</t>
    </rPh>
    <phoneticPr fontId="1"/>
  </si>
  <si>
    <t>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</si>
</sst>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>
      <alignment vertical="center"/>
    </xf>
    <xf numFmtId="14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vertical="center" wrapText="1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3" fillId="0" borderId="5" xfId="0" applyNumberFormat="1" applyFont="1" applyBorder="1" applyAlignment="1">
      <alignment horizontal="left" vertical="center"/>
    </xf>
    <xf numFmtId="176" fontId="3" fillId="3" borderId="5" xfId="0" applyNumberFormat="1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left" vertical="center"/>
    </xf>
    <xf numFmtId="176" fontId="3" fillId="0" borderId="10" xfId="0" applyNumberFormat="1" applyFont="1" applyBorder="1" applyAlignment="1">
      <alignment horizontal="left" vertical="center"/>
    </xf>
    <xf numFmtId="176" fontId="3" fillId="3" borderId="10" xfId="0" applyNumberFormat="1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176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4216-9B1C-4C17-94F9-480AE681686B}">
  <dimension ref="A1:J15"/>
  <sheetViews>
    <sheetView view="pageBreakPreview" zoomScale="85" zoomScaleNormal="100" zoomScaleSheetLayoutView="85" workbookViewId="0">
      <selection activeCell="C19" sqref="C19"/>
    </sheetView>
  </sheetViews>
  <sheetFormatPr defaultRowHeight="18" x14ac:dyDescent="0.55000000000000004"/>
  <cols>
    <col min="1" max="1" width="4.25" bestFit="1" customWidth="1"/>
    <col min="2" max="2" width="13.58203125" bestFit="1" customWidth="1"/>
    <col min="3" max="6" width="18.5" customWidth="1"/>
    <col min="7" max="7" width="50.08203125" bestFit="1" customWidth="1"/>
    <col min="8" max="10" width="23.6640625" customWidth="1"/>
  </cols>
  <sheetData>
    <row r="1" spans="1:10" x14ac:dyDescent="0.55000000000000004">
      <c r="J1" s="1">
        <v>45763</v>
      </c>
    </row>
    <row r="2" spans="1:10" x14ac:dyDescent="0.55000000000000004">
      <c r="J2" s="6" t="s">
        <v>41</v>
      </c>
    </row>
    <row r="3" spans="1:10" ht="26.5" x14ac:dyDescent="0.55000000000000004">
      <c r="A3" s="5" t="s">
        <v>40</v>
      </c>
    </row>
    <row r="4" spans="1:10" ht="36" x14ac:dyDescent="0.55000000000000004">
      <c r="A4" s="2" t="s">
        <v>42</v>
      </c>
      <c r="B4" s="11" t="s">
        <v>26</v>
      </c>
      <c r="C4" s="2" t="s">
        <v>27</v>
      </c>
      <c r="D4" s="3" t="s">
        <v>15</v>
      </c>
      <c r="E4" s="3" t="s">
        <v>16</v>
      </c>
      <c r="F4" s="2" t="s">
        <v>14</v>
      </c>
      <c r="G4" s="2" t="s">
        <v>30</v>
      </c>
      <c r="H4" s="2" t="s">
        <v>20</v>
      </c>
      <c r="I4" s="2" t="s">
        <v>21</v>
      </c>
      <c r="J4" s="2" t="s">
        <v>38</v>
      </c>
    </row>
    <row r="5" spans="1:10" ht="43" customHeight="1" x14ac:dyDescent="0.55000000000000004">
      <c r="A5" s="2">
        <v>1</v>
      </c>
      <c r="B5" s="12" t="s">
        <v>6</v>
      </c>
      <c r="C5" s="23">
        <v>40817</v>
      </c>
      <c r="D5" s="23">
        <f t="shared" ref="D5:E15" si="0">C5+365+365</f>
        <v>41547</v>
      </c>
      <c r="E5" s="23">
        <f t="shared" si="0"/>
        <v>42277</v>
      </c>
      <c r="F5" s="24" t="str">
        <f t="shared" ref="F5:F15" ca="1" si="1">DATEDIF(C5, TODAY(), "Y") &amp; "年" &amp; DATEDIF(C5, TODAY(), "YM") &amp; "ヶ月" &amp; DATEDIF(C5, TODAY(), "MD") &amp; "日"</f>
        <v>13年6ヶ月17日</v>
      </c>
      <c r="G5" s="4" t="s">
        <v>11</v>
      </c>
      <c r="H5" s="4" t="s">
        <v>29</v>
      </c>
      <c r="I5" s="4" t="s">
        <v>25</v>
      </c>
      <c r="J5" s="24" t="s">
        <v>39</v>
      </c>
    </row>
    <row r="6" spans="1:10" ht="43" customHeight="1" x14ac:dyDescent="0.55000000000000004">
      <c r="A6" s="2">
        <v>2</v>
      </c>
      <c r="B6" s="13" t="s">
        <v>3</v>
      </c>
      <c r="C6" s="23">
        <v>41344</v>
      </c>
      <c r="D6" s="23">
        <f t="shared" si="0"/>
        <v>42074</v>
      </c>
      <c r="E6" s="23">
        <f t="shared" si="0"/>
        <v>42804</v>
      </c>
      <c r="F6" s="24" t="str">
        <f t="shared" ca="1" si="1"/>
        <v>12年1ヶ月7日</v>
      </c>
      <c r="G6" s="4" t="s">
        <v>31</v>
      </c>
      <c r="H6" s="4" t="s">
        <v>28</v>
      </c>
      <c r="I6" s="4" t="s">
        <v>23</v>
      </c>
      <c r="J6" s="24" t="s">
        <v>39</v>
      </c>
    </row>
    <row r="7" spans="1:10" ht="43" customHeight="1" x14ac:dyDescent="0.55000000000000004">
      <c r="A7" s="2">
        <v>3</v>
      </c>
      <c r="B7" s="13" t="s">
        <v>2</v>
      </c>
      <c r="C7" s="23">
        <v>44146</v>
      </c>
      <c r="D7" s="23">
        <f t="shared" si="0"/>
        <v>44876</v>
      </c>
      <c r="E7" s="23">
        <f t="shared" si="0"/>
        <v>45606</v>
      </c>
      <c r="F7" s="24" t="str">
        <f t="shared" ca="1" si="1"/>
        <v>4年5ヶ月7日</v>
      </c>
      <c r="G7" s="4" t="s">
        <v>32</v>
      </c>
      <c r="H7" s="4" t="s">
        <v>19</v>
      </c>
      <c r="I7" s="4" t="s">
        <v>22</v>
      </c>
      <c r="J7" s="24" t="s">
        <v>12</v>
      </c>
    </row>
    <row r="8" spans="1:10" ht="43" customHeight="1" thickBot="1" x14ac:dyDescent="0.6">
      <c r="A8" s="18">
        <v>4</v>
      </c>
      <c r="B8" s="14" t="s">
        <v>1</v>
      </c>
      <c r="C8" s="25">
        <v>44662</v>
      </c>
      <c r="D8" s="25">
        <f t="shared" si="0"/>
        <v>45392</v>
      </c>
      <c r="E8" s="25">
        <f t="shared" si="0"/>
        <v>46122</v>
      </c>
      <c r="F8" s="26" t="str">
        <f t="shared" ca="1" si="1"/>
        <v>3年0ヶ月7日</v>
      </c>
      <c r="G8" s="7" t="s">
        <v>33</v>
      </c>
      <c r="H8" s="7" t="s">
        <v>17</v>
      </c>
      <c r="I8" s="7" t="s">
        <v>24</v>
      </c>
      <c r="J8" s="26" t="s">
        <v>12</v>
      </c>
    </row>
    <row r="9" spans="1:10" ht="43" customHeight="1" x14ac:dyDescent="0.55000000000000004">
      <c r="A9" s="20">
        <v>5</v>
      </c>
      <c r="B9" s="15" t="s">
        <v>5</v>
      </c>
      <c r="C9" s="27">
        <v>45241</v>
      </c>
      <c r="D9" s="28">
        <f t="shared" si="0"/>
        <v>45971</v>
      </c>
      <c r="E9" s="27">
        <f t="shared" si="0"/>
        <v>46701</v>
      </c>
      <c r="F9" s="29" t="str">
        <f t="shared" ca="1" si="1"/>
        <v>1年5ヶ月7日</v>
      </c>
      <c r="G9" s="9" t="s">
        <v>34</v>
      </c>
      <c r="H9" s="9" t="s">
        <v>18</v>
      </c>
      <c r="I9" s="9" t="s">
        <v>23</v>
      </c>
      <c r="J9" s="36" t="s">
        <v>13</v>
      </c>
    </row>
    <row r="10" spans="1:10" ht="43" customHeight="1" x14ac:dyDescent="0.55000000000000004">
      <c r="A10" s="21">
        <v>6</v>
      </c>
      <c r="B10" s="13" t="s">
        <v>10</v>
      </c>
      <c r="C10" s="23">
        <v>45241</v>
      </c>
      <c r="D10" s="30">
        <f t="shared" si="0"/>
        <v>45971</v>
      </c>
      <c r="E10" s="23">
        <f t="shared" si="0"/>
        <v>46701</v>
      </c>
      <c r="F10" s="24" t="str">
        <f t="shared" ca="1" si="1"/>
        <v>1年5ヶ月7日</v>
      </c>
      <c r="G10" s="4" t="s">
        <v>35</v>
      </c>
      <c r="H10" s="4" t="s">
        <v>17</v>
      </c>
      <c r="I10" s="4" t="s">
        <v>23</v>
      </c>
      <c r="J10" s="37" t="s">
        <v>13</v>
      </c>
    </row>
    <row r="11" spans="1:10" ht="43" customHeight="1" x14ac:dyDescent="0.55000000000000004">
      <c r="A11" s="21">
        <v>7</v>
      </c>
      <c r="B11" s="13" t="s">
        <v>7</v>
      </c>
      <c r="C11" s="23">
        <v>45271</v>
      </c>
      <c r="D11" s="30">
        <f t="shared" si="0"/>
        <v>46001</v>
      </c>
      <c r="E11" s="23">
        <f t="shared" si="0"/>
        <v>46731</v>
      </c>
      <c r="F11" s="24" t="str">
        <f t="shared" ca="1" si="1"/>
        <v>1年4ヶ月7日</v>
      </c>
      <c r="G11" s="4" t="s">
        <v>34</v>
      </c>
      <c r="H11" s="4" t="s">
        <v>17</v>
      </c>
      <c r="I11" s="4" t="s">
        <v>17</v>
      </c>
      <c r="J11" s="37" t="s">
        <v>13</v>
      </c>
    </row>
    <row r="12" spans="1:10" ht="43" customHeight="1" x14ac:dyDescent="0.55000000000000004">
      <c r="A12" s="21">
        <v>8</v>
      </c>
      <c r="B12" s="13" t="s">
        <v>0</v>
      </c>
      <c r="C12" s="23">
        <v>45271</v>
      </c>
      <c r="D12" s="30">
        <f t="shared" si="0"/>
        <v>46001</v>
      </c>
      <c r="E12" s="23">
        <f t="shared" si="0"/>
        <v>46731</v>
      </c>
      <c r="F12" s="24" t="str">
        <f t="shared" ca="1" si="1"/>
        <v>1年4ヶ月7日</v>
      </c>
      <c r="G12" s="4" t="s">
        <v>36</v>
      </c>
      <c r="H12" s="4" t="s">
        <v>18</v>
      </c>
      <c r="I12" s="4" t="s">
        <v>17</v>
      </c>
      <c r="J12" s="37" t="s">
        <v>13</v>
      </c>
    </row>
    <row r="13" spans="1:10" ht="43" customHeight="1" thickBot="1" x14ac:dyDescent="0.6">
      <c r="A13" s="22">
        <v>9</v>
      </c>
      <c r="B13" s="16" t="s">
        <v>4</v>
      </c>
      <c r="C13" s="31">
        <v>45271</v>
      </c>
      <c r="D13" s="32">
        <f t="shared" si="0"/>
        <v>46001</v>
      </c>
      <c r="E13" s="31">
        <f t="shared" si="0"/>
        <v>46731</v>
      </c>
      <c r="F13" s="33" t="str">
        <f t="shared" ca="1" si="1"/>
        <v>1年4ヶ月7日</v>
      </c>
      <c r="G13" s="10" t="s">
        <v>36</v>
      </c>
      <c r="H13" s="10" t="s">
        <v>17</v>
      </c>
      <c r="I13" s="10" t="s">
        <v>17</v>
      </c>
      <c r="J13" s="38" t="s">
        <v>13</v>
      </c>
    </row>
    <row r="14" spans="1:10" ht="43" customHeight="1" x14ac:dyDescent="0.55000000000000004">
      <c r="A14" s="19">
        <v>10</v>
      </c>
      <c r="B14" s="17" t="s">
        <v>9</v>
      </c>
      <c r="C14" s="34">
        <v>45362</v>
      </c>
      <c r="D14" s="34">
        <f t="shared" si="0"/>
        <v>46092</v>
      </c>
      <c r="E14" s="34">
        <f t="shared" si="0"/>
        <v>46822</v>
      </c>
      <c r="F14" s="35" t="str">
        <f t="shared" ca="1" si="1"/>
        <v>1年1ヶ月7日</v>
      </c>
      <c r="G14" s="8" t="s">
        <v>37</v>
      </c>
      <c r="H14" s="8" t="s">
        <v>17</v>
      </c>
      <c r="I14" s="8" t="s">
        <v>17</v>
      </c>
      <c r="J14" s="35" t="s">
        <v>12</v>
      </c>
    </row>
    <row r="15" spans="1:10" ht="43" customHeight="1" x14ac:dyDescent="0.55000000000000004">
      <c r="A15" s="2">
        <v>11</v>
      </c>
      <c r="B15" s="13" t="s">
        <v>8</v>
      </c>
      <c r="C15" s="23">
        <v>45393</v>
      </c>
      <c r="D15" s="23">
        <f t="shared" si="0"/>
        <v>46123</v>
      </c>
      <c r="E15" s="23">
        <f t="shared" si="0"/>
        <v>46853</v>
      </c>
      <c r="F15" s="24" t="str">
        <f t="shared" ca="1" si="1"/>
        <v>1年0ヶ月7日</v>
      </c>
      <c r="G15" s="4" t="s">
        <v>31</v>
      </c>
      <c r="H15" s="4" t="s">
        <v>17</v>
      </c>
      <c r="I15" s="4" t="s">
        <v>23</v>
      </c>
      <c r="J15" s="24" t="s">
        <v>12</v>
      </c>
    </row>
  </sheetData>
  <autoFilter ref="B4:J4" xr:uid="{92AA4216-9B1C-4C17-94F9-480AE681686B}">
    <sortState xmlns:xlrd2="http://schemas.microsoft.com/office/spreadsheetml/2017/richdata2" ref="B5:J15">
      <sortCondition ref="C4"/>
    </sortState>
  </autoFilter>
  <phoneticPr fontId="1"/>
  <printOptions horizontalCentered="1"/>
  <pageMargins left="0" right="0" top="0.74803149606299213" bottom="0.74803149606299213" header="0.31496062992125984" footer="0.31496062992125984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E497-C45A-4491-9729-DA8044DE3CF2}">
  <sheetPr>
    <pageSetUpPr fitToPage="1"/>
  </sheetPr>
  <dimension ref="A1:J12"/>
  <sheetViews>
    <sheetView tabSelected="1" view="pageBreakPreview" zoomScale="85" zoomScaleNormal="100" zoomScaleSheetLayoutView="85" workbookViewId="0">
      <selection activeCell="G8" sqref="G8"/>
    </sheetView>
  </sheetViews>
  <sheetFormatPr defaultRowHeight="18" x14ac:dyDescent="0.55000000000000004"/>
  <cols>
    <col min="1" max="1" width="4.25" bestFit="1" customWidth="1"/>
    <col min="2" max="2" width="13.58203125" bestFit="1" customWidth="1"/>
    <col min="3" max="6" width="18.5" customWidth="1"/>
    <col min="7" max="7" width="50.08203125" bestFit="1" customWidth="1"/>
    <col min="8" max="10" width="23.6640625" customWidth="1"/>
  </cols>
  <sheetData>
    <row r="1" spans="1:10" x14ac:dyDescent="0.55000000000000004">
      <c r="J1" s="1">
        <v>45763</v>
      </c>
    </row>
    <row r="2" spans="1:10" x14ac:dyDescent="0.55000000000000004">
      <c r="J2" s="6" t="s">
        <v>41</v>
      </c>
    </row>
    <row r="3" spans="1:10" ht="26.5" x14ac:dyDescent="0.55000000000000004">
      <c r="A3" s="5" t="s">
        <v>40</v>
      </c>
    </row>
    <row r="4" spans="1:10" ht="36" x14ac:dyDescent="0.55000000000000004">
      <c r="A4" s="2" t="s">
        <v>42</v>
      </c>
      <c r="B4" s="11" t="s">
        <v>26</v>
      </c>
      <c r="C4" s="2" t="s">
        <v>27</v>
      </c>
      <c r="D4" s="3" t="s">
        <v>15</v>
      </c>
      <c r="E4" s="3" t="s">
        <v>16</v>
      </c>
      <c r="F4" s="2" t="s">
        <v>14</v>
      </c>
      <c r="G4" s="2" t="s">
        <v>30</v>
      </c>
      <c r="H4" s="2" t="s">
        <v>20</v>
      </c>
      <c r="I4" s="2" t="s">
        <v>21</v>
      </c>
      <c r="J4" s="2" t="s">
        <v>38</v>
      </c>
    </row>
    <row r="5" spans="1:10" ht="43" customHeight="1" thickBot="1" x14ac:dyDescent="0.6">
      <c r="A5" s="18">
        <v>1</v>
      </c>
      <c r="B5" s="14" t="s">
        <v>1</v>
      </c>
      <c r="C5" s="25">
        <v>44662</v>
      </c>
      <c r="D5" s="25">
        <f t="shared" ref="D5:E12" si="0">C5+365+365</f>
        <v>45392</v>
      </c>
      <c r="E5" s="25">
        <f t="shared" si="0"/>
        <v>46122</v>
      </c>
      <c r="F5" s="26" t="str">
        <f t="shared" ref="F5:F12" ca="1" si="1">DATEDIF(C5, TODAY(), "Y") &amp; "年" &amp; DATEDIF(C5, TODAY(), "YM") &amp; "ヶ月" &amp; DATEDIF(C5, TODAY(), "MD") &amp; "日"</f>
        <v>3年0ヶ月7日</v>
      </c>
      <c r="G5" s="7" t="s">
        <v>33</v>
      </c>
      <c r="H5" s="7" t="s">
        <v>17</v>
      </c>
      <c r="I5" s="7" t="s">
        <v>24</v>
      </c>
      <c r="J5" s="26" t="s">
        <v>12</v>
      </c>
    </row>
    <row r="6" spans="1:10" ht="43" customHeight="1" x14ac:dyDescent="0.55000000000000004">
      <c r="A6" s="20">
        <v>2</v>
      </c>
      <c r="B6" s="15" t="s">
        <v>5</v>
      </c>
      <c r="C6" s="27">
        <v>45241</v>
      </c>
      <c r="D6" s="28">
        <f t="shared" si="0"/>
        <v>45971</v>
      </c>
      <c r="E6" s="27">
        <f t="shared" si="0"/>
        <v>46701</v>
      </c>
      <c r="F6" s="29" t="str">
        <f t="shared" ca="1" si="1"/>
        <v>1年5ヶ月7日</v>
      </c>
      <c r="G6" s="9" t="s">
        <v>34</v>
      </c>
      <c r="H6" s="9" t="s">
        <v>18</v>
      </c>
      <c r="I6" s="9" t="s">
        <v>23</v>
      </c>
      <c r="J6" s="36" t="s">
        <v>13</v>
      </c>
    </row>
    <row r="7" spans="1:10" ht="43" customHeight="1" x14ac:dyDescent="0.55000000000000004">
      <c r="A7" s="21">
        <v>3</v>
      </c>
      <c r="B7" s="13" t="s">
        <v>10</v>
      </c>
      <c r="C7" s="23">
        <v>45241</v>
      </c>
      <c r="D7" s="30">
        <f t="shared" si="0"/>
        <v>45971</v>
      </c>
      <c r="E7" s="23">
        <f t="shared" si="0"/>
        <v>46701</v>
      </c>
      <c r="F7" s="24" t="str">
        <f t="shared" ca="1" si="1"/>
        <v>1年5ヶ月7日</v>
      </c>
      <c r="G7" s="4" t="s">
        <v>35</v>
      </c>
      <c r="H7" s="4" t="s">
        <v>17</v>
      </c>
      <c r="I7" s="4" t="s">
        <v>23</v>
      </c>
      <c r="J7" s="37" t="s">
        <v>13</v>
      </c>
    </row>
    <row r="8" spans="1:10" ht="43" customHeight="1" x14ac:dyDescent="0.55000000000000004">
      <c r="A8" s="21">
        <v>3</v>
      </c>
      <c r="B8" s="13" t="s">
        <v>7</v>
      </c>
      <c r="C8" s="23">
        <v>45271</v>
      </c>
      <c r="D8" s="30">
        <f t="shared" si="0"/>
        <v>46001</v>
      </c>
      <c r="E8" s="23">
        <f t="shared" si="0"/>
        <v>46731</v>
      </c>
      <c r="F8" s="24" t="str">
        <f t="shared" ca="1" si="1"/>
        <v>1年4ヶ月7日</v>
      </c>
      <c r="G8" s="4" t="s">
        <v>34</v>
      </c>
      <c r="H8" s="4" t="s">
        <v>17</v>
      </c>
      <c r="I8" s="4" t="s">
        <v>17</v>
      </c>
      <c r="J8" s="37" t="s">
        <v>13</v>
      </c>
    </row>
    <row r="9" spans="1:10" ht="43" customHeight="1" x14ac:dyDescent="0.55000000000000004">
      <c r="A9" s="21">
        <v>4</v>
      </c>
      <c r="B9" s="13" t="s">
        <v>0</v>
      </c>
      <c r="C9" s="23">
        <v>45271</v>
      </c>
      <c r="D9" s="30">
        <f t="shared" si="0"/>
        <v>46001</v>
      </c>
      <c r="E9" s="23">
        <f t="shared" si="0"/>
        <v>46731</v>
      </c>
      <c r="F9" s="24" t="str">
        <f t="shared" ca="1" si="1"/>
        <v>1年4ヶ月7日</v>
      </c>
      <c r="G9" s="4" t="s">
        <v>36</v>
      </c>
      <c r="H9" s="4" t="s">
        <v>18</v>
      </c>
      <c r="I9" s="4" t="s">
        <v>17</v>
      </c>
      <c r="J9" s="37" t="s">
        <v>13</v>
      </c>
    </row>
    <row r="10" spans="1:10" ht="43" customHeight="1" thickBot="1" x14ac:dyDescent="0.6">
      <c r="A10" s="22">
        <v>5</v>
      </c>
      <c r="B10" s="16" t="s">
        <v>4</v>
      </c>
      <c r="C10" s="31">
        <v>45271</v>
      </c>
      <c r="D10" s="32">
        <f t="shared" si="0"/>
        <v>46001</v>
      </c>
      <c r="E10" s="31">
        <f t="shared" si="0"/>
        <v>46731</v>
      </c>
      <c r="F10" s="33" t="str">
        <f t="shared" ca="1" si="1"/>
        <v>1年4ヶ月7日</v>
      </c>
      <c r="G10" s="10" t="s">
        <v>36</v>
      </c>
      <c r="H10" s="10" t="s">
        <v>17</v>
      </c>
      <c r="I10" s="10" t="s">
        <v>17</v>
      </c>
      <c r="J10" s="38" t="s">
        <v>13</v>
      </c>
    </row>
    <row r="11" spans="1:10" ht="43" customHeight="1" x14ac:dyDescent="0.55000000000000004">
      <c r="A11" s="19">
        <v>6</v>
      </c>
      <c r="B11" s="17" t="s">
        <v>9</v>
      </c>
      <c r="C11" s="34">
        <v>45362</v>
      </c>
      <c r="D11" s="34">
        <f t="shared" si="0"/>
        <v>46092</v>
      </c>
      <c r="E11" s="34">
        <f t="shared" si="0"/>
        <v>46822</v>
      </c>
      <c r="F11" s="35" t="str">
        <f t="shared" ca="1" si="1"/>
        <v>1年1ヶ月7日</v>
      </c>
      <c r="G11" s="8" t="s">
        <v>37</v>
      </c>
      <c r="H11" s="8" t="s">
        <v>17</v>
      </c>
      <c r="I11" s="8" t="s">
        <v>17</v>
      </c>
      <c r="J11" s="35" t="s">
        <v>12</v>
      </c>
    </row>
    <row r="12" spans="1:10" ht="43" customHeight="1" x14ac:dyDescent="0.55000000000000004">
      <c r="A12" s="2">
        <v>7</v>
      </c>
      <c r="B12" s="13" t="s">
        <v>8</v>
      </c>
      <c r="C12" s="23">
        <v>45393</v>
      </c>
      <c r="D12" s="23">
        <f t="shared" si="0"/>
        <v>46123</v>
      </c>
      <c r="E12" s="23">
        <f t="shared" si="0"/>
        <v>46853</v>
      </c>
      <c r="F12" s="24" t="str">
        <f t="shared" ca="1" si="1"/>
        <v>1年0ヶ月7日</v>
      </c>
      <c r="G12" s="4" t="s">
        <v>31</v>
      </c>
      <c r="H12" s="4" t="s">
        <v>17</v>
      </c>
      <c r="I12" s="4" t="s">
        <v>23</v>
      </c>
      <c r="J12" s="24" t="s">
        <v>12</v>
      </c>
    </row>
  </sheetData>
  <autoFilter ref="B4:J4" xr:uid="{92AA4216-9B1C-4C17-94F9-480AE681686B}">
    <sortState xmlns:xlrd2="http://schemas.microsoft.com/office/spreadsheetml/2017/richdata2" ref="B5:J15">
      <sortCondition ref="C4"/>
    </sortState>
  </autoFilter>
  <phoneticPr fontId="1"/>
  <printOptions horizontalCentered="1"/>
  <pageMargins left="0" right="0" top="0.74803149606299213" bottom="0.74803149606299213" header="0.31496062992125984" footer="0.31496062992125984"/>
  <pageSetup paperSize="8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全員</vt:lpstr>
      <vt:lpstr>役員・部長除く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 mtokyo</dc:creator>
  <cp:lastModifiedBy>346 mtokyo</cp:lastModifiedBy>
  <cp:lastPrinted>2025-04-18T02:52:15Z</cp:lastPrinted>
  <dcterms:created xsi:type="dcterms:W3CDTF">2025-04-16T06:35:04Z</dcterms:created>
  <dcterms:modified xsi:type="dcterms:W3CDTF">2025-04-18T02:52:17Z</dcterms:modified>
</cp:coreProperties>
</file>