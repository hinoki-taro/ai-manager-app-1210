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5" yWindow="6480" windowWidth="19155" windowHeight="6525" activeTab="1"/>
  </bookViews>
  <sheets>
    <sheet name="連絡網_201801" sheetId="8" r:id="rId1"/>
    <sheet name="拠点責任者" sheetId="4" r:id="rId2"/>
    <sheet name="表示電話番号一覧" sheetId="2" r:id="rId3"/>
    <sheet name="Sheet1" sheetId="5" r:id="rId4"/>
    <sheet name="（参考）連絡網201704 " sheetId="6" r:id="rId5"/>
    <sheet name="（参考）連絡網201710" sheetId="7" r:id="rId6"/>
  </sheets>
  <definedNames>
    <definedName name="_xlnm._FilterDatabase" localSheetId="5" hidden="1">'（参考）連絡網201710'!$K$12:$T$13</definedName>
    <definedName name="_xlnm._FilterDatabase" localSheetId="2" hidden="1">表示電話番号一覧!$B$2:$I$52</definedName>
    <definedName name="_xlnm.Print_Area" localSheetId="5">'（参考）連絡網201710'!$A$1:$AC$53</definedName>
    <definedName name="_xlnm.Print_Area" localSheetId="0">連絡網_201801!$A$1:$AC$53</definedName>
  </definedNames>
  <calcPr calcId="145621"/>
</workbook>
</file>

<file path=xl/calcChain.xml><?xml version="1.0" encoding="utf-8"?>
<calcChain xmlns="http://schemas.openxmlformats.org/spreadsheetml/2006/main">
  <c r="F89" i="2" l="1"/>
  <c r="F90" i="2"/>
  <c r="F91" i="2"/>
  <c r="F12" i="4" l="1"/>
  <c r="W37" i="8" l="1"/>
  <c r="Z28" i="8"/>
  <c r="K16" i="8"/>
  <c r="F69" i="2" l="1"/>
  <c r="F55" i="2"/>
  <c r="W43" i="7" l="1"/>
  <c r="Z37" i="7"/>
  <c r="W37" i="7"/>
  <c r="Z28" i="7"/>
  <c r="Z19" i="7"/>
  <c r="K16" i="7"/>
  <c r="Z13" i="7"/>
  <c r="W13" i="7"/>
  <c r="Z4" i="7"/>
  <c r="L16" i="6" l="1"/>
  <c r="AA43" i="6"/>
  <c r="X43" i="6"/>
  <c r="AA37" i="6"/>
  <c r="AA28" i="6"/>
  <c r="AA34" i="6"/>
  <c r="AA31" i="6"/>
  <c r="AA25" i="6"/>
  <c r="AA19" i="6"/>
  <c r="AA16" i="6"/>
  <c r="AA13" i="6"/>
  <c r="X13" i="6"/>
  <c r="AA4" i="6"/>
  <c r="X4" i="6"/>
  <c r="F75" i="2"/>
  <c r="F76" i="2"/>
  <c r="Z49" i="8" s="1"/>
  <c r="F77" i="2"/>
  <c r="F78" i="2"/>
  <c r="F79" i="2"/>
  <c r="F82" i="2"/>
  <c r="F84" i="2"/>
  <c r="F66" i="2"/>
  <c r="K37" i="8" s="1"/>
  <c r="F67" i="2"/>
  <c r="F68" i="2"/>
  <c r="R37" i="6"/>
  <c r="F70" i="2"/>
  <c r="F71" i="2"/>
  <c r="F72" i="2"/>
  <c r="F73" i="2"/>
  <c r="F74" i="2"/>
  <c r="Q37" i="8" s="1"/>
  <c r="F6" i="4"/>
  <c r="F8" i="4"/>
  <c r="F10" i="4"/>
  <c r="F14" i="4"/>
  <c r="F16" i="4"/>
  <c r="F63" i="2"/>
  <c r="F86" i="2"/>
  <c r="F87" i="2"/>
  <c r="F88" i="2"/>
  <c r="F64" i="2"/>
  <c r="F65" i="2"/>
  <c r="F58" i="2"/>
  <c r="F59" i="2"/>
  <c r="F60" i="2"/>
  <c r="W46" i="8" s="1"/>
  <c r="F61" i="2"/>
  <c r="W7" i="8" s="1"/>
  <c r="F62" i="2"/>
  <c r="N49" i="8" s="1"/>
  <c r="F44" i="2"/>
  <c r="W19" i="8" s="1"/>
  <c r="F43" i="2"/>
  <c r="T19" i="8" s="1"/>
  <c r="F57" i="2"/>
  <c r="F42" i="2"/>
  <c r="N46" i="8" s="1"/>
  <c r="F11" i="2"/>
  <c r="K40" i="8" s="1"/>
  <c r="F4" i="2"/>
  <c r="G40" i="8" s="1"/>
  <c r="F48" i="2"/>
  <c r="F5" i="2"/>
  <c r="Q40" i="8" s="1"/>
  <c r="F6" i="2"/>
  <c r="N25" i="8" s="1"/>
  <c r="F7" i="2"/>
  <c r="F83" i="2"/>
  <c r="F8" i="2"/>
  <c r="W40" i="8" s="1"/>
  <c r="F9" i="2"/>
  <c r="F10" i="2"/>
  <c r="N40" i="8" s="1"/>
  <c r="F12" i="2"/>
  <c r="F14" i="2"/>
  <c r="F13" i="2"/>
  <c r="Q43" i="8" s="1"/>
  <c r="F15" i="2"/>
  <c r="K28" i="8" s="1"/>
  <c r="F38" i="2"/>
  <c r="Q46" i="8" s="1"/>
  <c r="F37" i="2"/>
  <c r="W22" i="8" s="1"/>
  <c r="F25" i="2"/>
  <c r="F18" i="2"/>
  <c r="F23" i="2"/>
  <c r="F32" i="2"/>
  <c r="N10" i="8" s="1"/>
  <c r="F22" i="2"/>
  <c r="F16" i="2"/>
  <c r="K46" i="8" s="1"/>
  <c r="F17" i="2"/>
  <c r="F20" i="2"/>
  <c r="F31" i="2"/>
  <c r="F36" i="2"/>
  <c r="Q10" i="8" s="1"/>
  <c r="F19" i="2"/>
  <c r="F81" i="2"/>
  <c r="Q25" i="8" s="1"/>
  <c r="F30" i="2"/>
  <c r="N16" i="8" s="1"/>
  <c r="F24" i="2"/>
  <c r="N19" i="8" s="1"/>
  <c r="F27" i="2"/>
  <c r="F26" i="2"/>
  <c r="F85" i="2"/>
  <c r="F34" i="2"/>
  <c r="K10" i="8" s="1"/>
  <c r="F33" i="2"/>
  <c r="F35" i="2"/>
  <c r="F28" i="2"/>
  <c r="X16" i="6"/>
  <c r="F21" i="2"/>
  <c r="W25" i="8" s="1"/>
  <c r="F29" i="2"/>
  <c r="T25" i="8" s="1"/>
  <c r="F39" i="2"/>
  <c r="F40" i="2"/>
  <c r="T31" i="8" s="1"/>
  <c r="F41" i="2"/>
  <c r="F45" i="2"/>
  <c r="F46" i="2"/>
  <c r="F49" i="2"/>
  <c r="K4" i="8" s="1"/>
  <c r="F50" i="2"/>
  <c r="Q7" i="8" s="1"/>
  <c r="F51" i="2"/>
  <c r="N4" i="8" s="1"/>
  <c r="F47" i="2"/>
  <c r="K7" i="8" s="1"/>
  <c r="F52" i="2"/>
  <c r="N7" i="8" s="1"/>
  <c r="F53" i="2"/>
  <c r="F54" i="2"/>
  <c r="F56" i="2"/>
  <c r="Q4" i="8" s="1"/>
  <c r="F3" i="2"/>
  <c r="B19" i="8" s="1"/>
  <c r="G19" i="8" l="1"/>
  <c r="W4" i="8"/>
  <c r="Z40" i="8"/>
  <c r="Q31" i="8"/>
  <c r="N13" i="8"/>
  <c r="Q13" i="8"/>
  <c r="Q22" i="8"/>
  <c r="N28" i="8"/>
  <c r="Q28" i="8"/>
  <c r="W31" i="8"/>
  <c r="Q16" i="8"/>
  <c r="Q49" i="8"/>
  <c r="T4" i="8"/>
  <c r="W49" i="8"/>
  <c r="N37" i="8"/>
  <c r="G4" i="8"/>
  <c r="N22" i="8"/>
  <c r="T22" i="8"/>
  <c r="Q19" i="8"/>
  <c r="K34" i="8"/>
  <c r="K19" i="8"/>
  <c r="K13" i="8"/>
  <c r="Z31" i="8"/>
  <c r="Z22" i="8"/>
  <c r="T13" i="8"/>
  <c r="T16" i="8"/>
  <c r="T10" i="8"/>
  <c r="Z19" i="8"/>
  <c r="T49" i="8"/>
  <c r="T46" i="8"/>
  <c r="F15" i="4"/>
  <c r="Z25" i="7"/>
  <c r="Z25" i="8"/>
  <c r="Q37" i="7"/>
  <c r="AC25" i="8"/>
  <c r="W10" i="7"/>
  <c r="W10" i="8"/>
  <c r="T28" i="7"/>
  <c r="T43" i="8"/>
  <c r="W16" i="7"/>
  <c r="W16" i="8"/>
  <c r="N43" i="7"/>
  <c r="N43" i="8"/>
  <c r="T34" i="7"/>
  <c r="Q34" i="8"/>
  <c r="Q43" i="7"/>
  <c r="T40" i="8"/>
  <c r="F13" i="4"/>
  <c r="Z16" i="7"/>
  <c r="Z10" i="8"/>
  <c r="X10" i="6"/>
  <c r="T46" i="7"/>
  <c r="H19" i="6"/>
  <c r="G19" i="7"/>
  <c r="R43" i="6"/>
  <c r="U34" i="6"/>
  <c r="R4" i="6"/>
  <c r="Q4" i="7"/>
  <c r="U7" i="6"/>
  <c r="L7" i="6"/>
  <c r="K7" i="7"/>
  <c r="R7" i="6"/>
  <c r="Q7" i="7"/>
  <c r="H4" i="6"/>
  <c r="G4" i="7"/>
  <c r="X34" i="6"/>
  <c r="R31" i="6"/>
  <c r="Q31" i="7"/>
  <c r="X25" i="6"/>
  <c r="W25" i="7"/>
  <c r="O13" i="6"/>
  <c r="N13" i="7"/>
  <c r="R13" i="6"/>
  <c r="Q13" i="7"/>
  <c r="L10" i="6"/>
  <c r="K10" i="7"/>
  <c r="X28" i="6"/>
  <c r="O19" i="6"/>
  <c r="N19" i="7"/>
  <c r="O22" i="6"/>
  <c r="Q22" i="7"/>
  <c r="R19" i="6"/>
  <c r="Q19" i="7"/>
  <c r="R34" i="6"/>
  <c r="Q34" i="7"/>
  <c r="L19" i="6"/>
  <c r="K19" i="7"/>
  <c r="L13" i="6"/>
  <c r="K13" i="7"/>
  <c r="R28" i="6"/>
  <c r="Q28" i="7"/>
  <c r="X22" i="6"/>
  <c r="W22" i="7"/>
  <c r="L28" i="6"/>
  <c r="K28" i="7"/>
  <c r="O31" i="6"/>
  <c r="N31" i="7"/>
  <c r="X40" i="6"/>
  <c r="W40" i="7"/>
  <c r="O37" i="6"/>
  <c r="W4" i="7"/>
  <c r="O25" i="6"/>
  <c r="N25" i="7"/>
  <c r="H40" i="6"/>
  <c r="G40" i="7"/>
  <c r="O46" i="6"/>
  <c r="N46" i="7"/>
  <c r="AA22" i="6"/>
  <c r="Z22" i="7"/>
  <c r="X19" i="6"/>
  <c r="W19" i="7"/>
  <c r="X37" i="6"/>
  <c r="W7" i="7"/>
  <c r="U13" i="6"/>
  <c r="T13" i="7"/>
  <c r="U46" i="6"/>
  <c r="U16" i="6"/>
  <c r="T16" i="7"/>
  <c r="R16" i="6"/>
  <c r="Q16" i="7"/>
  <c r="U4" i="6"/>
  <c r="T4" i="7"/>
  <c r="U37" i="6"/>
  <c r="N37" i="7"/>
  <c r="L37" i="6"/>
  <c r="K37" i="7"/>
  <c r="B19" i="6"/>
  <c r="B19" i="7"/>
  <c r="X7" i="6"/>
  <c r="O7" i="6"/>
  <c r="N7" i="7"/>
  <c r="O4" i="6"/>
  <c r="N4" i="7"/>
  <c r="L4" i="6"/>
  <c r="K4" i="7"/>
  <c r="L43" i="6"/>
  <c r="U31" i="6"/>
  <c r="T31" i="7"/>
  <c r="U25" i="6"/>
  <c r="T25" i="7"/>
  <c r="AA10" i="6"/>
  <c r="R22" i="6"/>
  <c r="N22" i="7"/>
  <c r="U22" i="6"/>
  <c r="T22" i="7"/>
  <c r="O16" i="6"/>
  <c r="N16" i="7"/>
  <c r="R25" i="6"/>
  <c r="Q25" i="7"/>
  <c r="R10" i="6"/>
  <c r="Q10" i="7"/>
  <c r="U28" i="6"/>
  <c r="Z31" i="7"/>
  <c r="L46" i="6"/>
  <c r="K46" i="7"/>
  <c r="O10" i="6"/>
  <c r="N10" i="7"/>
  <c r="U43" i="6"/>
  <c r="O28" i="6"/>
  <c r="N28" i="7"/>
  <c r="O40" i="6"/>
  <c r="N40" i="7"/>
  <c r="U40" i="6"/>
  <c r="T40" i="7"/>
  <c r="R40" i="6"/>
  <c r="Q40" i="7"/>
  <c r="L40" i="6"/>
  <c r="K40" i="7"/>
  <c r="U19" i="6"/>
  <c r="T19" i="7"/>
  <c r="X46" i="6"/>
  <c r="N49" i="7"/>
  <c r="R46" i="6"/>
  <c r="Q46" i="7"/>
  <c r="X31" i="6"/>
  <c r="W31" i="7"/>
  <c r="U10" i="6"/>
  <c r="T10" i="7"/>
  <c r="AA46" i="6"/>
  <c r="Q49" i="7"/>
  <c r="O43" i="6"/>
  <c r="AA40" i="6"/>
  <c r="Z40" i="7"/>
  <c r="AA7" i="6"/>
  <c r="F5" i="4"/>
  <c r="F3" i="4"/>
  <c r="F9" i="4"/>
  <c r="F7" i="4"/>
  <c r="F4" i="4"/>
</calcChain>
</file>

<file path=xl/sharedStrings.xml><?xml version="1.0" encoding="utf-8"?>
<sst xmlns="http://schemas.openxmlformats.org/spreadsheetml/2006/main" count="1922" uniqueCount="1062">
  <si>
    <t>社員番号</t>
  </si>
  <si>
    <t>氏名</t>
  </si>
  <si>
    <t>所属部署</t>
  </si>
  <si>
    <t>会社携帯</t>
  </si>
  <si>
    <t>個人携帯</t>
  </si>
  <si>
    <t>経営管理部</t>
  </si>
  <si>
    <t>高橋　和夫</t>
  </si>
  <si>
    <t>090-4938-1866</t>
  </si>
  <si>
    <t>田中　宏樹</t>
  </si>
  <si>
    <t>総合建物管理事業部</t>
  </si>
  <si>
    <t>080-3566-8975</t>
  </si>
  <si>
    <t>090-1843-1145</t>
  </si>
  <si>
    <t>白井　正美</t>
  </si>
  <si>
    <t>080-3566-8951</t>
  </si>
  <si>
    <t>090-4715-6409</t>
  </si>
  <si>
    <t>福岡　法和</t>
  </si>
  <si>
    <t>青木　博之</t>
  </si>
  <si>
    <t>090-3238-0679</t>
  </si>
  <si>
    <t>東郷　一哉</t>
  </si>
  <si>
    <t>浅野　博</t>
  </si>
  <si>
    <t>伊藤　祐介</t>
  </si>
  <si>
    <t>080-3566-8978</t>
  </si>
  <si>
    <t>090-7821-0953</t>
  </si>
  <si>
    <t>瀧田　賢吾</t>
  </si>
  <si>
    <t>桑田　拓也</t>
  </si>
  <si>
    <t>090-1213-2144</t>
  </si>
  <si>
    <t>加藤　純一</t>
  </si>
  <si>
    <t>伏見　晃一</t>
  </si>
  <si>
    <t>大木　望愛</t>
  </si>
  <si>
    <t>白鳥　大介</t>
  </si>
  <si>
    <t>090-6033-7021</t>
  </si>
  <si>
    <t>090-4967-4045</t>
  </si>
  <si>
    <t>宮﨑　正行</t>
  </si>
  <si>
    <t>伊藤　恵</t>
  </si>
  <si>
    <t>080-3270-6875</t>
  </si>
  <si>
    <t>090-8783-6103</t>
  </si>
  <si>
    <t>清水　豊</t>
  </si>
  <si>
    <t>080-4373-7695</t>
  </si>
  <si>
    <t>090-2637-1434</t>
  </si>
  <si>
    <t>下田　隆弘</t>
  </si>
  <si>
    <t>大澤　邦明</t>
  </si>
  <si>
    <t>080-4373-8694</t>
  </si>
  <si>
    <t>090-8036-4005</t>
  </si>
  <si>
    <t>中山　透</t>
  </si>
  <si>
    <t>080-4581-1553</t>
  </si>
  <si>
    <t>080-3159-1007</t>
  </si>
  <si>
    <t>瀧上　和樹</t>
  </si>
  <si>
    <t>羽場　康雄</t>
  </si>
  <si>
    <t>080-4905-6111</t>
  </si>
  <si>
    <t>佐々木　恵美</t>
  </si>
  <si>
    <t>090-9808-6751</t>
  </si>
  <si>
    <t>080-1807-0700</t>
  </si>
  <si>
    <t>鈴木　圭</t>
  </si>
  <si>
    <t>080-6652-2455</t>
  </si>
  <si>
    <t>渡邊　良子</t>
  </si>
  <si>
    <t>斯波　聡</t>
  </si>
  <si>
    <t>080-4373-7684</t>
  </si>
  <si>
    <t>090-5831-6419</t>
  </si>
  <si>
    <t>松本　千絵</t>
  </si>
  <si>
    <t>明石　健太</t>
  </si>
  <si>
    <t>080-3566-8966</t>
  </si>
  <si>
    <t>090-5204-2231</t>
  </si>
  <si>
    <t>森　美弥</t>
  </si>
  <si>
    <t>090-1779-7556</t>
  </si>
  <si>
    <t>水澤　浩二郎</t>
  </si>
  <si>
    <t>080-7933-6122</t>
  </si>
  <si>
    <t>080-3350-4040</t>
  </si>
  <si>
    <t>飯嶋　由佳李</t>
  </si>
  <si>
    <t>080-3431-6721</t>
  </si>
  <si>
    <t>080-2342-1741</t>
  </si>
  <si>
    <t>松本　泰貴</t>
  </si>
  <si>
    <t>080-4581-1554</t>
  </si>
  <si>
    <t>050-3645-6034</t>
  </si>
  <si>
    <t>梅津　香織</t>
  </si>
  <si>
    <t>090-9855-5534</t>
  </si>
  <si>
    <t>工藤　純子</t>
  </si>
  <si>
    <t>080-9802-4443</t>
  </si>
  <si>
    <t>090-5359-4302</t>
  </si>
  <si>
    <t>松田　豪之扶</t>
  </si>
  <si>
    <t>090-1791-5298</t>
  </si>
  <si>
    <t>090-6021-5026</t>
  </si>
  <si>
    <t>下地　浩子</t>
  </si>
  <si>
    <t>080-9870-0199</t>
  </si>
  <si>
    <t>090-6167-8239</t>
  </si>
  <si>
    <t>高石　薫</t>
  </si>
  <si>
    <t>080-3566-8973</t>
  </si>
  <si>
    <t>鈴木　武史</t>
  </si>
  <si>
    <t>070-3541-0263</t>
  </si>
  <si>
    <t>川上　悟</t>
  </si>
  <si>
    <t>安藤　美穂</t>
  </si>
  <si>
    <t>070-3533-7394</t>
  </si>
  <si>
    <t>080-6509-7140</t>
  </si>
  <si>
    <t>090-4621-6574</t>
  </si>
  <si>
    <t>新間　豊</t>
  </si>
  <si>
    <t>市川　孝</t>
  </si>
  <si>
    <t>090-7675-7609</t>
  </si>
  <si>
    <t>橋本　修一</t>
  </si>
  <si>
    <t>日浦　健二</t>
  </si>
  <si>
    <t>三浦　学</t>
  </si>
  <si>
    <t>070-3514-2223</t>
  </si>
  <si>
    <t>090-8598-9127</t>
  </si>
  <si>
    <t>表示電話番号</t>
    <rPh sb="0" eb="2">
      <t>ヒョウジ</t>
    </rPh>
    <rPh sb="2" eb="4">
      <t>デンワ</t>
    </rPh>
    <rPh sb="4" eb="6">
      <t>バンゴウ</t>
    </rPh>
    <phoneticPr fontId="18"/>
  </si>
  <si>
    <t>マルハン危機情報センター</t>
    <rPh sb="4" eb="6">
      <t>キキ</t>
    </rPh>
    <rPh sb="6" eb="8">
      <t>ジョウホウ</t>
    </rPh>
    <phoneticPr fontId="18"/>
  </si>
  <si>
    <t>０３－５２２０－４９８４</t>
    <phoneticPr fontId="18"/>
  </si>
  <si>
    <t>曽我　尚子</t>
    <rPh sb="0" eb="2">
      <t>ソガ</t>
    </rPh>
    <rPh sb="3" eb="5">
      <t>ナオコ</t>
    </rPh>
    <phoneticPr fontId="18"/>
  </si>
  <si>
    <t>金　英珉</t>
  </si>
  <si>
    <t>090-2442-2655</t>
    <phoneticPr fontId="18"/>
  </si>
  <si>
    <t>　　キントーンに入力できない場合は、部門長にメールで報告してください</t>
    <rPh sb="8" eb="10">
      <t>ニュウリョク</t>
    </rPh>
    <rPh sb="14" eb="16">
      <t>バアイ</t>
    </rPh>
    <rPh sb="18" eb="21">
      <t>ブモンチョウ</t>
    </rPh>
    <rPh sb="26" eb="28">
      <t>ホウコク</t>
    </rPh>
    <phoneticPr fontId="18"/>
  </si>
  <si>
    <t>社長不在の場合は</t>
    <rPh sb="0" eb="2">
      <t>シャチョウ</t>
    </rPh>
    <rPh sb="2" eb="4">
      <t>フザイ</t>
    </rPh>
    <rPh sb="5" eb="7">
      <t>バアイ</t>
    </rPh>
    <phoneticPr fontId="18"/>
  </si>
  <si>
    <t>shirai-mmi@ezweb.ne.jp</t>
    <phoneticPr fontId="18"/>
  </si>
  <si>
    <t>※　震災等の安否確認では、連絡がとりにくい状況が予測されるため、キントーンのアプリ</t>
    <rPh sb="2" eb="4">
      <t>シンサイ</t>
    </rPh>
    <rPh sb="4" eb="5">
      <t>トウ</t>
    </rPh>
    <rPh sb="6" eb="8">
      <t>アンピ</t>
    </rPh>
    <rPh sb="8" eb="10">
      <t>カクニン</t>
    </rPh>
    <rPh sb="13" eb="15">
      <t>レンラク</t>
    </rPh>
    <rPh sb="21" eb="23">
      <t>ジョウキョウ</t>
    </rPh>
    <rPh sb="24" eb="26">
      <t>ヨソク</t>
    </rPh>
    <phoneticPr fontId="18"/>
  </si>
  <si>
    <t>　　『社員情報マスタ』の安否確認欄に　本人の怪我の有無、家族・家屋の状況』を記入してください</t>
    <rPh sb="3" eb="5">
      <t>シャイン</t>
    </rPh>
    <rPh sb="5" eb="7">
      <t>ジョウホウ</t>
    </rPh>
    <rPh sb="12" eb="14">
      <t>アンピ</t>
    </rPh>
    <rPh sb="14" eb="16">
      <t>カクニン</t>
    </rPh>
    <rPh sb="16" eb="17">
      <t>ラン</t>
    </rPh>
    <rPh sb="19" eb="21">
      <t>ホンニン</t>
    </rPh>
    <rPh sb="22" eb="24">
      <t>ケガ</t>
    </rPh>
    <rPh sb="25" eb="27">
      <t>ウム</t>
    </rPh>
    <rPh sb="28" eb="30">
      <t>カゾク</t>
    </rPh>
    <rPh sb="31" eb="33">
      <t>カオク</t>
    </rPh>
    <rPh sb="34" eb="36">
      <t>ジョウキョウ</t>
    </rPh>
    <rPh sb="38" eb="40">
      <t>キニュウ</t>
    </rPh>
    <phoneticPr fontId="18"/>
  </si>
  <si>
    <t>※個人の番号は、外部に伝えないこと。</t>
    <rPh sb="1" eb="3">
      <t>コジン</t>
    </rPh>
    <rPh sb="4" eb="6">
      <t>バンゴウ</t>
    </rPh>
    <rPh sb="8" eb="10">
      <t>ガイブ</t>
    </rPh>
    <rPh sb="11" eb="12">
      <t>ツタ</t>
    </rPh>
    <phoneticPr fontId="18"/>
  </si>
  <si>
    <t>齊藤　翔</t>
  </si>
  <si>
    <t>（会社携帯を優先表示）</t>
    <rPh sb="1" eb="3">
      <t>カイシャ</t>
    </rPh>
    <rPh sb="3" eb="5">
      <t>ケイタイ</t>
    </rPh>
    <rPh sb="6" eb="8">
      <t>ユウセン</t>
    </rPh>
    <rPh sb="8" eb="10">
      <t>ヒョウジ</t>
    </rPh>
    <phoneticPr fontId="18"/>
  </si>
  <si>
    <t>経営管理部長が</t>
    <rPh sb="0" eb="2">
      <t>ケイエイ</t>
    </rPh>
    <rPh sb="2" eb="4">
      <t>カンリ</t>
    </rPh>
    <rPh sb="4" eb="6">
      <t>ブチョウ</t>
    </rPh>
    <phoneticPr fontId="18"/>
  </si>
  <si>
    <t>代行して連絡をする</t>
    <rPh sb="4" eb="6">
      <t>レンラク</t>
    </rPh>
    <phoneticPr fontId="18"/>
  </si>
  <si>
    <t>070-3831-8111</t>
    <phoneticPr fontId="18"/>
  </si>
  <si>
    <t>神田本社</t>
    <rPh sb="0" eb="2">
      <t>カンダ</t>
    </rPh>
    <rPh sb="2" eb="4">
      <t>ホンシャ</t>
    </rPh>
    <phoneticPr fontId="18"/>
  </si>
  <si>
    <t>東京都千代田区神田錦町1-21-1</t>
    <rPh sb="0" eb="3">
      <t>トウキョウト</t>
    </rPh>
    <rPh sb="3" eb="7">
      <t>チヨダク</t>
    </rPh>
    <rPh sb="7" eb="9">
      <t>カンダ</t>
    </rPh>
    <rPh sb="9" eb="10">
      <t>ニシキ</t>
    </rPh>
    <rPh sb="10" eb="11">
      <t>マチ</t>
    </rPh>
    <phoneticPr fontId="18"/>
  </si>
  <si>
    <t>拠点</t>
    <rPh sb="0" eb="2">
      <t>キョテン</t>
    </rPh>
    <phoneticPr fontId="18"/>
  </si>
  <si>
    <t>住所</t>
    <rPh sb="0" eb="2">
      <t>ジュウショ</t>
    </rPh>
    <phoneticPr fontId="18"/>
  </si>
  <si>
    <t>電話</t>
    <rPh sb="0" eb="2">
      <t>デンワ</t>
    </rPh>
    <phoneticPr fontId="18"/>
  </si>
  <si>
    <t>責任者</t>
    <rPh sb="0" eb="3">
      <t>セキニンシャ</t>
    </rPh>
    <phoneticPr fontId="18"/>
  </si>
  <si>
    <t>正</t>
    <rPh sb="0" eb="1">
      <t>セイ</t>
    </rPh>
    <phoneticPr fontId="18"/>
  </si>
  <si>
    <t>副</t>
    <rPh sb="0" eb="1">
      <t>フク</t>
    </rPh>
    <phoneticPr fontId="18"/>
  </si>
  <si>
    <t>埼玉県越谷市川柳町5-149-1</t>
    <rPh sb="0" eb="3">
      <t>サイタマケン</t>
    </rPh>
    <rPh sb="3" eb="6">
      <t>コシガヤシ</t>
    </rPh>
    <rPh sb="6" eb="9">
      <t>カワヤナギチョウ</t>
    </rPh>
    <phoneticPr fontId="18"/>
  </si>
  <si>
    <t>仙台営業所</t>
    <rPh sb="0" eb="2">
      <t>センダイ</t>
    </rPh>
    <rPh sb="2" eb="5">
      <t>エイギョウショ</t>
    </rPh>
    <phoneticPr fontId="18"/>
  </si>
  <si>
    <t>宮城県仙台市宮城野区田子上3-1-101</t>
    <rPh sb="0" eb="3">
      <t>ミヤギケン</t>
    </rPh>
    <rPh sb="3" eb="6">
      <t>センダイシ</t>
    </rPh>
    <rPh sb="6" eb="10">
      <t>ミヤギノク</t>
    </rPh>
    <rPh sb="10" eb="12">
      <t>タゴ</t>
    </rPh>
    <rPh sb="12" eb="13">
      <t>ウエ</t>
    </rPh>
    <phoneticPr fontId="18"/>
  </si>
  <si>
    <t>首都圏
テクニカルセンター</t>
    <rPh sb="0" eb="3">
      <t>シュトケン</t>
    </rPh>
    <phoneticPr fontId="18"/>
  </si>
  <si>
    <t>03-3293-8686</t>
    <phoneticPr fontId="18"/>
  </si>
  <si>
    <t>048-988-8688</t>
    <phoneticPr fontId="18"/>
  </si>
  <si>
    <t>022-207-8686</t>
    <phoneticPr fontId="18"/>
  </si>
  <si>
    <t>シェラトン</t>
    <phoneticPr fontId="18"/>
  </si>
  <si>
    <t>070-3831-8032</t>
    <phoneticPr fontId="18"/>
  </si>
  <si>
    <t>各拠点の責任者および連絡先</t>
    <rPh sb="0" eb="3">
      <t>カクキョテン</t>
    </rPh>
    <rPh sb="4" eb="7">
      <t>セキニンシャ</t>
    </rPh>
    <rPh sb="10" eb="13">
      <t>レンラクサキ</t>
    </rPh>
    <phoneticPr fontId="18"/>
  </si>
  <si>
    <t>静岡県静岡市駿河区富士見台1-4-85
メガシティ静岡　内</t>
    <rPh sb="0" eb="3">
      <t>シズオカケン</t>
    </rPh>
    <rPh sb="3" eb="6">
      <t>シズオカシ</t>
    </rPh>
    <rPh sb="6" eb="9">
      <t>スルガク</t>
    </rPh>
    <rPh sb="9" eb="13">
      <t>フジミダイ</t>
    </rPh>
    <rPh sb="25" eb="27">
      <t>シズオカ</t>
    </rPh>
    <rPh sb="28" eb="29">
      <t>ナイ</t>
    </rPh>
    <phoneticPr fontId="18"/>
  </si>
  <si>
    <t>小嶋　大樹</t>
  </si>
  <si>
    <t>飯塚　武彦</t>
  </si>
  <si>
    <t>磯　孝宏</t>
  </si>
  <si>
    <t>社用携帯貸与者一覧</t>
    <rPh sb="0" eb="2">
      <t>シャヨウ</t>
    </rPh>
    <rPh sb="2" eb="4">
      <t>ケイタイ</t>
    </rPh>
    <rPh sb="4" eb="6">
      <t>タイヨ</t>
    </rPh>
    <rPh sb="6" eb="7">
      <t>シャ</t>
    </rPh>
    <rPh sb="7" eb="9">
      <t>イチラン</t>
    </rPh>
    <phoneticPr fontId="18"/>
  </si>
  <si>
    <t>iphoneでのauID 電話番号</t>
    <rPh sb="13" eb="15">
      <t>デンワ</t>
    </rPh>
    <rPh sb="15" eb="17">
      <t>バンゴウ</t>
    </rPh>
    <phoneticPr fontId="18"/>
  </si>
  <si>
    <t>iphoneでのauIDパス　mmi0332938686</t>
    <phoneticPr fontId="18"/>
  </si>
  <si>
    <t>ネットワーク暗証番号：8686</t>
    <rPh sb="6" eb="8">
      <t>アンショウ</t>
    </rPh>
    <rPh sb="8" eb="10">
      <t>バンゴウ</t>
    </rPh>
    <phoneticPr fontId="18"/>
  </si>
  <si>
    <t>項番</t>
    <rPh sb="0" eb="1">
      <t>コウ</t>
    </rPh>
    <rPh sb="1" eb="2">
      <t>バン</t>
    </rPh>
    <phoneticPr fontId="33"/>
  </si>
  <si>
    <t>役職</t>
    <rPh sb="0" eb="2">
      <t>ヤクショク</t>
    </rPh>
    <phoneticPr fontId="18"/>
  </si>
  <si>
    <t>機種名</t>
    <rPh sb="0" eb="3">
      <t>キシュメイ</t>
    </rPh>
    <phoneticPr fontId="34"/>
  </si>
  <si>
    <t>対象回線番号</t>
    <rPh sb="0" eb="2">
      <t>タイショウ</t>
    </rPh>
    <rPh sb="2" eb="4">
      <t>カイセン</t>
    </rPh>
    <rPh sb="4" eb="6">
      <t>バンゴウ</t>
    </rPh>
    <phoneticPr fontId="33"/>
  </si>
  <si>
    <t>貸与先</t>
    <rPh sb="0" eb="2">
      <t>タイヨ</t>
    </rPh>
    <rPh sb="2" eb="3">
      <t>サキ</t>
    </rPh>
    <phoneticPr fontId="33"/>
  </si>
  <si>
    <t>メールアドレス</t>
  </si>
  <si>
    <t>前の使用者</t>
    <rPh sb="0" eb="1">
      <t>マエ</t>
    </rPh>
    <rPh sb="2" eb="5">
      <t>シヨウシャ</t>
    </rPh>
    <phoneticPr fontId="34"/>
  </si>
  <si>
    <t>納品年月日</t>
    <rPh sb="0" eb="2">
      <t>ノウヒン</t>
    </rPh>
    <rPh sb="2" eb="3">
      <t>ネン</t>
    </rPh>
    <rPh sb="3" eb="5">
      <t>ガッピ</t>
    </rPh>
    <phoneticPr fontId="34"/>
  </si>
  <si>
    <t>AppleID</t>
    <phoneticPr fontId="34"/>
  </si>
  <si>
    <t>Pass</t>
    <phoneticPr fontId="34"/>
  </si>
  <si>
    <t>備考</t>
    <rPh sb="0" eb="2">
      <t>ビコウ</t>
    </rPh>
    <phoneticPr fontId="18"/>
  </si>
  <si>
    <t>社員</t>
    <rPh sb="0" eb="2">
      <t>シャイン</t>
    </rPh>
    <phoneticPr fontId="18"/>
  </si>
  <si>
    <t>iPhone5C_16GWH</t>
  </si>
  <si>
    <t>08041420878</t>
    <phoneticPr fontId="18"/>
  </si>
  <si>
    <t>新沼篤</t>
  </si>
  <si>
    <t>niinuma-mmi@ezweb.ne.jp</t>
  </si>
  <si>
    <t>2014.08.25</t>
  </si>
  <si>
    <t>niinuma@mmin-net.co.jp</t>
    <phoneticPr fontId="18"/>
  </si>
  <si>
    <t>Mmi0332938686</t>
    <phoneticPr fontId="18"/>
  </si>
  <si>
    <t>08035668957</t>
    <phoneticPr fontId="18"/>
  </si>
  <si>
    <t>瀧田賢吾</t>
  </si>
  <si>
    <t>takida-mmi@ezweb.ne.jp</t>
  </si>
  <si>
    <t>iPhoneSE-16S</t>
    <phoneticPr fontId="18"/>
  </si>
  <si>
    <t>08031737962</t>
    <phoneticPr fontId="18"/>
  </si>
  <si>
    <t>桑田拓也</t>
  </si>
  <si>
    <t>kuwata-mmi@ezweb.ne.jp</t>
  </si>
  <si>
    <t>2016.10.28</t>
    <phoneticPr fontId="18"/>
  </si>
  <si>
    <t>kuwata@mmin-net.co.jp</t>
    <phoneticPr fontId="18"/>
  </si>
  <si>
    <t>08032706875</t>
    <phoneticPr fontId="18"/>
  </si>
  <si>
    <t>伊藤恵</t>
  </si>
  <si>
    <t>mito-mmi@ezweb.ne.jp</t>
  </si>
  <si>
    <t>mito@mmin-net.co.jp</t>
    <phoneticPr fontId="18"/>
  </si>
  <si>
    <t>08043737684</t>
    <phoneticPr fontId="18"/>
  </si>
  <si>
    <t>斯波聡</t>
  </si>
  <si>
    <t>shiba-mmi@ezweb.ne.jp</t>
  </si>
  <si>
    <t>shiba@mmin-net.co.jp</t>
    <phoneticPr fontId="18"/>
  </si>
  <si>
    <t>08036063448</t>
    <phoneticPr fontId="18"/>
  </si>
  <si>
    <t>岸優里</t>
    <rPh sb="0" eb="1">
      <t>キシ</t>
    </rPh>
    <rPh sb="1" eb="2">
      <t>ヤサ</t>
    </rPh>
    <rPh sb="2" eb="3">
      <t>サト</t>
    </rPh>
    <phoneticPr fontId="18"/>
  </si>
  <si>
    <t>kishi-mmi@ezweb.ne.jp</t>
    <phoneticPr fontId="18"/>
  </si>
  <si>
    <t>山浦雅美</t>
    <rPh sb="0" eb="2">
      <t>ヤマウラ</t>
    </rPh>
    <rPh sb="2" eb="4">
      <t>マサミ</t>
    </rPh>
    <phoneticPr fontId="18"/>
  </si>
  <si>
    <t>kishi@mmin-net.co.jp</t>
    <phoneticPr fontId="18"/>
  </si>
  <si>
    <t>09098086751</t>
    <phoneticPr fontId="18"/>
  </si>
  <si>
    <t>佐々木恵美</t>
  </si>
  <si>
    <t>esasaki-mmi@ezweb.ne.jp</t>
  </si>
  <si>
    <t>sasaki@mmin-net.co.jp</t>
    <phoneticPr fontId="18"/>
  </si>
  <si>
    <t>08034467228</t>
    <phoneticPr fontId="18"/>
  </si>
  <si>
    <t>東郷一哉</t>
  </si>
  <si>
    <t>togo-mmi@ezweb.ne.jp</t>
  </si>
  <si>
    <t>2014.08.28</t>
  </si>
  <si>
    <t>togo@mmin-net.co.jp</t>
    <phoneticPr fontId="18"/>
  </si>
  <si>
    <t>08035668975</t>
    <phoneticPr fontId="18"/>
  </si>
  <si>
    <t>田中宏樹</t>
  </si>
  <si>
    <t>tanaka-mmi@ezweb.ne.jp</t>
    <phoneticPr fontId="18"/>
  </si>
  <si>
    <t>tanaka@mmin-net.co.jp</t>
    <phoneticPr fontId="18"/>
  </si>
  <si>
    <t>08035668951</t>
    <phoneticPr fontId="18"/>
  </si>
  <si>
    <t>白井正美</t>
  </si>
  <si>
    <t>shirai@mmin-net.co.jp</t>
    <phoneticPr fontId="18"/>
  </si>
  <si>
    <t>iPhone6s</t>
    <phoneticPr fontId="18"/>
  </si>
  <si>
    <t>08035668958</t>
    <phoneticPr fontId="18"/>
  </si>
  <si>
    <t>伏見晃一</t>
  </si>
  <si>
    <t>fushimi-mmi@ezweb.ne.jp</t>
    <phoneticPr fontId="18"/>
  </si>
  <si>
    <t>mmi.fushimi@icloud.com</t>
    <phoneticPr fontId="18"/>
  </si>
  <si>
    <t>08035668953</t>
    <phoneticPr fontId="18"/>
  </si>
  <si>
    <t>青木博之</t>
  </si>
  <si>
    <t>aoki-mmi@ezweb.ne.jp</t>
    <phoneticPr fontId="18"/>
  </si>
  <si>
    <t>mmi_0002＠me.com</t>
    <phoneticPr fontId="18"/>
  </si>
  <si>
    <t>Mmi0332938686</t>
    <phoneticPr fontId="18"/>
  </si>
  <si>
    <t>iPhone6_16GSL</t>
  </si>
  <si>
    <t>08035668976</t>
    <phoneticPr fontId="18"/>
  </si>
  <si>
    <t>飯嶋陽子</t>
  </si>
  <si>
    <t>e-jima-mmi@ezweb.ne.jp</t>
    <phoneticPr fontId="18"/>
  </si>
  <si>
    <t>iijima@mmin-net.co.jp</t>
    <phoneticPr fontId="18"/>
  </si>
  <si>
    <t>08035668956</t>
    <phoneticPr fontId="18"/>
  </si>
  <si>
    <t>浅野博</t>
  </si>
  <si>
    <t>asano-mmi@ezweb.ne.jp</t>
  </si>
  <si>
    <t>asano@mmin-net.co.jp</t>
    <phoneticPr fontId="18"/>
  </si>
  <si>
    <t>08035668955</t>
    <phoneticPr fontId="18"/>
  </si>
  <si>
    <t>佐藤友岐夫</t>
    <rPh sb="0" eb="2">
      <t>サトウ</t>
    </rPh>
    <rPh sb="2" eb="3">
      <t>トモ</t>
    </rPh>
    <rPh sb="3" eb="4">
      <t>チマタ</t>
    </rPh>
    <rPh sb="4" eb="5">
      <t>オット</t>
    </rPh>
    <phoneticPr fontId="18"/>
  </si>
  <si>
    <t>y.sato-mmi@ezweb.ne.jp</t>
    <phoneticPr fontId="18"/>
  </si>
  <si>
    <t>石田恵一</t>
    <rPh sb="0" eb="4">
      <t>イシダケイイチ</t>
    </rPh>
    <phoneticPr fontId="18"/>
  </si>
  <si>
    <t>y-sato@mmin-net.co.jp</t>
    <phoneticPr fontId="18"/>
  </si>
  <si>
    <t>08035668978</t>
    <phoneticPr fontId="18"/>
  </si>
  <si>
    <t>伊藤祐介</t>
  </si>
  <si>
    <t>ito-mmi@ezweb.ne.jp</t>
  </si>
  <si>
    <t>ito@mmin-net.co.jp</t>
    <phoneticPr fontId="18"/>
  </si>
  <si>
    <t>09060337021</t>
    <phoneticPr fontId="18"/>
  </si>
  <si>
    <t>白鳥大介</t>
  </si>
  <si>
    <t>shiratori-mmi@ezweb.ne.jp</t>
  </si>
  <si>
    <t>shiratori@mmin-net.co.jp</t>
    <phoneticPr fontId="18"/>
  </si>
  <si>
    <t>08034516474</t>
    <phoneticPr fontId="18"/>
  </si>
  <si>
    <t>宮﨑正行</t>
  </si>
  <si>
    <t>miyazaki-mmi@ezweb.ne.jp</t>
  </si>
  <si>
    <t>miyzaki@mmin-net.co.jp</t>
    <phoneticPr fontId="18"/>
  </si>
  <si>
    <t>08043737694</t>
    <phoneticPr fontId="18"/>
  </si>
  <si>
    <t>大澤邦明</t>
  </si>
  <si>
    <t>osawa-mmi@ezweb.ne.jp</t>
  </si>
  <si>
    <t>08043737695</t>
    <phoneticPr fontId="18"/>
  </si>
  <si>
    <t>清水豊</t>
  </si>
  <si>
    <t>shimizu-mmi@ezweb.ne.jp</t>
  </si>
  <si>
    <t>shimizu@mmin-net.co.jp</t>
    <phoneticPr fontId="18"/>
  </si>
  <si>
    <t>08041068296</t>
    <phoneticPr fontId="18"/>
  </si>
  <si>
    <t>下田隆弘</t>
  </si>
  <si>
    <t>shimoda-mmi@ezweb.ne.jp</t>
  </si>
  <si>
    <t>shimoda@mmin-net.co.jp</t>
    <phoneticPr fontId="18"/>
  </si>
  <si>
    <t>iPhone6</t>
    <phoneticPr fontId="18"/>
  </si>
  <si>
    <t>08045811553</t>
    <phoneticPr fontId="18"/>
  </si>
  <si>
    <t>中山透</t>
  </si>
  <si>
    <t>nakayama-mmi@ezweb.ne.jp</t>
  </si>
  <si>
    <t>2015.10.23</t>
    <phoneticPr fontId="18"/>
  </si>
  <si>
    <t>nakayama@mmin-net.co.jp</t>
    <phoneticPr fontId="18"/>
  </si>
  <si>
    <t>08043737793</t>
    <phoneticPr fontId="18"/>
  </si>
  <si>
    <t>瀧上和樹</t>
  </si>
  <si>
    <t>takigami-mmi@ezweb.ne.jp</t>
  </si>
  <si>
    <t>takigami@mmin-net.co.jp</t>
    <phoneticPr fontId="18"/>
  </si>
  <si>
    <t>09098314911</t>
    <phoneticPr fontId="18"/>
  </si>
  <si>
    <t>景山光司</t>
    <rPh sb="0" eb="2">
      <t>カゲヤマ</t>
    </rPh>
    <rPh sb="2" eb="4">
      <t>コウジ</t>
    </rPh>
    <phoneticPr fontId="18"/>
  </si>
  <si>
    <t>kageyama-mmi@ezweb.ne.jp</t>
    <phoneticPr fontId="18"/>
  </si>
  <si>
    <t>kageyama@mmin-net.co.jp</t>
    <phoneticPr fontId="18"/>
  </si>
  <si>
    <t>09090252358</t>
    <phoneticPr fontId="18"/>
  </si>
  <si>
    <t>橋本修一</t>
  </si>
  <si>
    <t>mmi_0001＠me.com</t>
    <phoneticPr fontId="18"/>
  </si>
  <si>
    <t>09017915298</t>
    <phoneticPr fontId="18"/>
  </si>
  <si>
    <t>松田豪之扶</t>
    <rPh sb="0" eb="2">
      <t>マツダ</t>
    </rPh>
    <rPh sb="2" eb="3">
      <t>ゴウ</t>
    </rPh>
    <rPh sb="3" eb="4">
      <t>ノ</t>
    </rPh>
    <rPh sb="4" eb="5">
      <t>フ</t>
    </rPh>
    <phoneticPr fontId="18"/>
  </si>
  <si>
    <t>matsuda-mmi@ezweb.ne.jp</t>
    <phoneticPr fontId="18"/>
  </si>
  <si>
    <t>08048623745</t>
    <phoneticPr fontId="18"/>
  </si>
  <si>
    <t>福岡法和</t>
  </si>
  <si>
    <t>fukuoka-mmi@ezweb.ne.jp</t>
  </si>
  <si>
    <t>08037543568</t>
    <phoneticPr fontId="18"/>
  </si>
  <si>
    <t>日浦健二</t>
  </si>
  <si>
    <t>hiura-mmi@ezweb.ne.jp</t>
  </si>
  <si>
    <t>2017.1.19</t>
    <phoneticPr fontId="18"/>
  </si>
  <si>
    <t>iPhone6s</t>
    <phoneticPr fontId="18"/>
  </si>
  <si>
    <t>08079336122</t>
    <phoneticPr fontId="18"/>
  </si>
  <si>
    <t>水澤浩二郎</t>
  </si>
  <si>
    <t>mizusawa@ezweb.ne.jp</t>
  </si>
  <si>
    <t>mizusawa@mmin-net.co.jp</t>
    <phoneticPr fontId="18"/>
  </si>
  <si>
    <t>08049056111</t>
    <phoneticPr fontId="18"/>
  </si>
  <si>
    <t>羽場康雄</t>
    <rPh sb="0" eb="2">
      <t>ハバ</t>
    </rPh>
    <rPh sb="2" eb="4">
      <t>ヤスオ</t>
    </rPh>
    <phoneticPr fontId="38"/>
  </si>
  <si>
    <t>haba-mmi@ezweb.ne.jp</t>
  </si>
  <si>
    <t>08035668966</t>
    <phoneticPr fontId="18"/>
  </si>
  <si>
    <t>明石健太</t>
  </si>
  <si>
    <t>ｋakashi-mmi@ezweb.ne.jp</t>
    <phoneticPr fontId="18"/>
  </si>
  <si>
    <t>akashi@mmin-net.co.jp</t>
    <phoneticPr fontId="18"/>
  </si>
  <si>
    <t>08034316721</t>
    <phoneticPr fontId="18"/>
  </si>
  <si>
    <t>飯嶋由佳李</t>
  </si>
  <si>
    <t>iijima-mmi@ezweb.ne.jp</t>
  </si>
  <si>
    <t>yiijima@mmin-net.co.jp</t>
    <phoneticPr fontId="18"/>
  </si>
  <si>
    <t>08045811554</t>
    <phoneticPr fontId="18"/>
  </si>
  <si>
    <t>松本泰貴</t>
  </si>
  <si>
    <t>matsumoto-mmi@ezweb.ne.jp</t>
  </si>
  <si>
    <t>2015.10.07</t>
    <phoneticPr fontId="18"/>
  </si>
  <si>
    <t>hmatsumoto@mmin-net.co.jp</t>
    <phoneticPr fontId="18"/>
  </si>
  <si>
    <t>iPhone5S_16GSL</t>
  </si>
  <si>
    <t>08098024442</t>
    <phoneticPr fontId="18"/>
  </si>
  <si>
    <t>matsubayashi-mmi@ezweb.ne.jp</t>
    <phoneticPr fontId="18"/>
  </si>
  <si>
    <t>松林延幸</t>
    <rPh sb="0" eb="2">
      <t>マツバヤシ</t>
    </rPh>
    <rPh sb="2" eb="4">
      <t>ノブユキ</t>
    </rPh>
    <phoneticPr fontId="18"/>
  </si>
  <si>
    <t>2014.11.17</t>
    <phoneticPr fontId="18"/>
  </si>
  <si>
    <t>matsubayashi@mmin-net.co.jp</t>
    <phoneticPr fontId="18"/>
  </si>
  <si>
    <t>本社保管中</t>
    <rPh sb="0" eb="2">
      <t>ホンシャ</t>
    </rPh>
    <rPh sb="2" eb="5">
      <t>ホカンチュウ</t>
    </rPh>
    <phoneticPr fontId="18"/>
  </si>
  <si>
    <t>08098024443</t>
    <phoneticPr fontId="18"/>
  </si>
  <si>
    <t>工藤純子</t>
    <rPh sb="0" eb="2">
      <t>クドウ</t>
    </rPh>
    <rPh sb="2" eb="4">
      <t>ジュンコ</t>
    </rPh>
    <phoneticPr fontId="18"/>
  </si>
  <si>
    <t>kudo-mmi@ezweb.ne.jp</t>
    <phoneticPr fontId="18"/>
  </si>
  <si>
    <t>kudo@mmin-net.co.jp</t>
    <phoneticPr fontId="18"/>
  </si>
  <si>
    <t>iPhone5S_16GGL</t>
  </si>
  <si>
    <t>08098700199</t>
    <phoneticPr fontId="18"/>
  </si>
  <si>
    <t>下地浩子</t>
    <rPh sb="0" eb="2">
      <t>シモジ</t>
    </rPh>
    <rPh sb="2" eb="4">
      <t>ヒロコ</t>
    </rPh>
    <phoneticPr fontId="18"/>
  </si>
  <si>
    <t>hshimoji-mmi@ezweb.ne.jp</t>
    <phoneticPr fontId="18"/>
  </si>
  <si>
    <t>2015.04.15</t>
    <phoneticPr fontId="18"/>
  </si>
  <si>
    <t>shimoji@mmi-net.co.jp</t>
    <phoneticPr fontId="18"/>
  </si>
  <si>
    <t>07035142223</t>
    <phoneticPr fontId="18"/>
  </si>
  <si>
    <t>三浦学</t>
    <rPh sb="0" eb="2">
      <t>ミウラ</t>
    </rPh>
    <rPh sb="2" eb="3">
      <t>マナ</t>
    </rPh>
    <phoneticPr fontId="18"/>
  </si>
  <si>
    <t>miura-mmi@ezweb.ne.jp</t>
    <phoneticPr fontId="18"/>
  </si>
  <si>
    <t>2015.07.17</t>
    <phoneticPr fontId="18"/>
  </si>
  <si>
    <t>miura@mmi-net.co.jp</t>
    <phoneticPr fontId="18"/>
  </si>
  <si>
    <t>08035668973</t>
    <phoneticPr fontId="18"/>
  </si>
  <si>
    <t>高石薫</t>
    <rPh sb="0" eb="2">
      <t>タカイシ</t>
    </rPh>
    <rPh sb="2" eb="3">
      <t>カオル</t>
    </rPh>
    <phoneticPr fontId="18"/>
  </si>
  <si>
    <t>takaishi-mmi@ezweb.ne.jp</t>
    <phoneticPr fontId="18"/>
  </si>
  <si>
    <t>井上善之</t>
  </si>
  <si>
    <t>takaishi@mmin-net.co.jp</t>
    <phoneticPr fontId="18"/>
  </si>
  <si>
    <t>07035410262</t>
    <phoneticPr fontId="18"/>
  </si>
  <si>
    <t>紺谷直人</t>
    <rPh sb="0" eb="2">
      <t>コンタニ</t>
    </rPh>
    <rPh sb="2" eb="4">
      <t>ナオト</t>
    </rPh>
    <phoneticPr fontId="18"/>
  </si>
  <si>
    <t>kontani-mmi@ezweb.ne.jp</t>
    <phoneticPr fontId="18"/>
  </si>
  <si>
    <t>kontani@mmin-net.co.jp</t>
    <phoneticPr fontId="18"/>
  </si>
  <si>
    <t>07035410263</t>
    <phoneticPr fontId="18"/>
  </si>
  <si>
    <t>鈴木武史</t>
    <rPh sb="0" eb="2">
      <t>スズキ</t>
    </rPh>
    <rPh sb="2" eb="4">
      <t>タケシ</t>
    </rPh>
    <phoneticPr fontId="18"/>
  </si>
  <si>
    <t>t-suzuki-mmi@ezweb.ne.jp</t>
    <phoneticPr fontId="18"/>
  </si>
  <si>
    <t>飯嶋陽子（simのみ入れ替え）</t>
    <rPh sb="0" eb="2">
      <t>イイジマ</t>
    </rPh>
    <rPh sb="2" eb="4">
      <t>ヨウコ</t>
    </rPh>
    <rPh sb="10" eb="11">
      <t>イ</t>
    </rPh>
    <rPh sb="12" eb="13">
      <t>カ</t>
    </rPh>
    <phoneticPr fontId="18"/>
  </si>
  <si>
    <t>t-suzuki@mmin-net.co.jp</t>
    <phoneticPr fontId="18"/>
  </si>
  <si>
    <t>07035410264</t>
    <phoneticPr fontId="18"/>
  </si>
  <si>
    <t>川上悟</t>
    <rPh sb="0" eb="2">
      <t>カワカミ</t>
    </rPh>
    <rPh sb="2" eb="3">
      <t>サトル</t>
    </rPh>
    <phoneticPr fontId="18"/>
  </si>
  <si>
    <t>kawakami-mmi@ezweb.ne.jp</t>
    <phoneticPr fontId="18"/>
  </si>
  <si>
    <t>kawakami@mmin-net.co.jp</t>
    <phoneticPr fontId="18"/>
  </si>
  <si>
    <t>07035337394</t>
    <phoneticPr fontId="18"/>
  </si>
  <si>
    <t>安藤美穂</t>
    <rPh sb="0" eb="2">
      <t>アンドウ</t>
    </rPh>
    <rPh sb="2" eb="4">
      <t>ミホ</t>
    </rPh>
    <phoneticPr fontId="18"/>
  </si>
  <si>
    <t>m-ando-mmi@ezweb.ne.jp</t>
    <phoneticPr fontId="18"/>
  </si>
  <si>
    <t>2015.12.14</t>
    <phoneticPr fontId="18"/>
  </si>
  <si>
    <t>ando@mmin-net.co.jp</t>
    <phoneticPr fontId="18"/>
  </si>
  <si>
    <t>07035474367</t>
    <phoneticPr fontId="18"/>
  </si>
  <si>
    <t>金英珉</t>
    <rPh sb="0" eb="1">
      <t>キム</t>
    </rPh>
    <rPh sb="1" eb="2">
      <t>エイ</t>
    </rPh>
    <rPh sb="2" eb="3">
      <t>ビン</t>
    </rPh>
    <phoneticPr fontId="18"/>
  </si>
  <si>
    <t>yonesu-mmi@ezweb.ne.jp</t>
    <phoneticPr fontId="18"/>
  </si>
  <si>
    <t>2015.1.5</t>
    <phoneticPr fontId="18"/>
  </si>
  <si>
    <t>yonesu@mmin-net.co.jp</t>
    <phoneticPr fontId="18"/>
  </si>
  <si>
    <t>08035668974</t>
    <phoneticPr fontId="18"/>
  </si>
  <si>
    <t>加藤純一</t>
  </si>
  <si>
    <t>kato-mmi@ezweb.ne.jp</t>
  </si>
  <si>
    <t>kato@mmin-net.co.jp</t>
    <phoneticPr fontId="18"/>
  </si>
  <si>
    <t>07036015755</t>
    <phoneticPr fontId="18"/>
  </si>
  <si>
    <t>長﨑義徳</t>
    <rPh sb="0" eb="1">
      <t>ナガ</t>
    </rPh>
    <rPh sb="1" eb="2">
      <t>サキ</t>
    </rPh>
    <rPh sb="2" eb="4">
      <t>ヨシノリ</t>
    </rPh>
    <phoneticPr fontId="18"/>
  </si>
  <si>
    <t>nagasaki-mmi@ezweb.ne.jp</t>
    <phoneticPr fontId="18"/>
  </si>
  <si>
    <t>2016.2.12</t>
    <phoneticPr fontId="18"/>
  </si>
  <si>
    <t>nagasaki@mmin-net.co.jp</t>
    <phoneticPr fontId="18"/>
  </si>
  <si>
    <t>07036093812</t>
    <phoneticPr fontId="18"/>
  </si>
  <si>
    <t>関英夫</t>
    <rPh sb="0" eb="1">
      <t>セキ</t>
    </rPh>
    <rPh sb="1" eb="3">
      <t>ヒデオ</t>
    </rPh>
    <phoneticPr fontId="18"/>
  </si>
  <si>
    <t>seki-mmi@ezweb.ne.jp</t>
    <phoneticPr fontId="18"/>
  </si>
  <si>
    <t>2016.2.15</t>
    <phoneticPr fontId="18"/>
  </si>
  <si>
    <t>seki@mmin-net.co.jp</t>
    <phoneticPr fontId="18"/>
  </si>
  <si>
    <t>07035337393</t>
    <phoneticPr fontId="18"/>
  </si>
  <si>
    <t>市川孝</t>
    <rPh sb="0" eb="2">
      <t>イチカワ</t>
    </rPh>
    <rPh sb="2" eb="3">
      <t>タカシ</t>
    </rPh>
    <phoneticPr fontId="18"/>
  </si>
  <si>
    <t>ichikawa-mmi@ezweb.ne.jp</t>
    <phoneticPr fontId="18"/>
  </si>
  <si>
    <t>ichikawa@mmin-net.co.jp</t>
    <phoneticPr fontId="18"/>
  </si>
  <si>
    <t>08096402656</t>
    <phoneticPr fontId="18"/>
  </si>
  <si>
    <t>松本正行</t>
    <rPh sb="0" eb="2">
      <t>マツモト</t>
    </rPh>
    <rPh sb="2" eb="4">
      <t>マサユキ</t>
    </rPh>
    <phoneticPr fontId="18"/>
  </si>
  <si>
    <t>mmatsumoto-mmi@ezweb.ne.jp</t>
    <phoneticPr fontId="18"/>
  </si>
  <si>
    <t>2014.8.28</t>
    <phoneticPr fontId="18"/>
  </si>
  <si>
    <t>mmatsumoto@mmin-net.co.jp</t>
    <phoneticPr fontId="18"/>
  </si>
  <si>
    <t>07036297215</t>
    <phoneticPr fontId="18"/>
  </si>
  <si>
    <t>斎藤翔</t>
    <rPh sb="0" eb="2">
      <t>サイトウ</t>
    </rPh>
    <rPh sb="2" eb="3">
      <t>ショウ</t>
    </rPh>
    <phoneticPr fontId="18"/>
  </si>
  <si>
    <t>saito-mmi@ezweb.ne.jp</t>
    <phoneticPr fontId="18"/>
  </si>
  <si>
    <t>2016.5.01</t>
    <phoneticPr fontId="18"/>
  </si>
  <si>
    <t>saito@mmin-net.co.jp</t>
    <phoneticPr fontId="18"/>
  </si>
  <si>
    <t>07036617937</t>
    <phoneticPr fontId="18"/>
  </si>
  <si>
    <t>鑪康介</t>
    <rPh sb="0" eb="1">
      <t>タタラ</t>
    </rPh>
    <rPh sb="1" eb="3">
      <t>コウスケ</t>
    </rPh>
    <phoneticPr fontId="18"/>
  </si>
  <si>
    <t>tatara-mmi@ezweb.ne.jp</t>
    <phoneticPr fontId="18"/>
  </si>
  <si>
    <t>2016.6.18</t>
    <phoneticPr fontId="18"/>
  </si>
  <si>
    <t>tatarao@mmin-net.co.jp</t>
    <phoneticPr fontId="18"/>
  </si>
  <si>
    <t>iphone6_16GSｾ</t>
    <phoneticPr fontId="18"/>
  </si>
  <si>
    <t>07038318032</t>
    <phoneticPr fontId="18"/>
  </si>
  <si>
    <t>シェラトン</t>
    <phoneticPr fontId="18"/>
  </si>
  <si>
    <t>empire-mmi@ezweb.ne.jp</t>
    <phoneticPr fontId="18"/>
  </si>
  <si>
    <t>エンパイアイン東京</t>
    <rPh sb="7" eb="9">
      <t>トウキョウ</t>
    </rPh>
    <phoneticPr fontId="18"/>
  </si>
  <si>
    <t>2016.8.18</t>
    <phoneticPr fontId="18"/>
  </si>
  <si>
    <t>07038318110</t>
    <phoneticPr fontId="18"/>
  </si>
  <si>
    <t>吉川直美</t>
    <rPh sb="0" eb="2">
      <t>ヨシカワ</t>
    </rPh>
    <rPh sb="2" eb="4">
      <t>ナオミ</t>
    </rPh>
    <phoneticPr fontId="38"/>
  </si>
  <si>
    <t>yoshikawa-mmi@ezweb.ne.jp</t>
    <phoneticPr fontId="18"/>
  </si>
  <si>
    <t>yoshikawa@mmin-net.co.jp</t>
    <phoneticPr fontId="18"/>
  </si>
  <si>
    <t>07038318111</t>
    <phoneticPr fontId="18"/>
  </si>
  <si>
    <t>松岡幸恵</t>
    <rPh sb="0" eb="2">
      <t>マツオカ</t>
    </rPh>
    <rPh sb="2" eb="4">
      <t>ユキエ</t>
    </rPh>
    <phoneticPr fontId="38"/>
  </si>
  <si>
    <t>matsuoka-mmi@ezweb.ne.jp</t>
    <phoneticPr fontId="18"/>
  </si>
  <si>
    <t>2016.8.25</t>
    <phoneticPr fontId="18"/>
  </si>
  <si>
    <t>matsuoka@mmin-net.co.jp</t>
    <phoneticPr fontId="18"/>
  </si>
  <si>
    <t>08043761740</t>
    <phoneticPr fontId="18"/>
  </si>
  <si>
    <t>ミッドタウン</t>
    <phoneticPr fontId="38"/>
  </si>
  <si>
    <t>midtown-mmi@ezweb.ne.jp</t>
    <phoneticPr fontId="18"/>
  </si>
  <si>
    <t>佐藤雅紀</t>
    <rPh sb="0" eb="2">
      <t>サトウ</t>
    </rPh>
    <phoneticPr fontId="18"/>
  </si>
  <si>
    <t>midtown@mmin-net.co.jp</t>
    <phoneticPr fontId="18"/>
  </si>
  <si>
    <t>iphoneSE</t>
  </si>
  <si>
    <t>07038434639</t>
    <phoneticPr fontId="18"/>
  </si>
  <si>
    <t>松本大輔</t>
    <rPh sb="0" eb="2">
      <t>マツモト</t>
    </rPh>
    <rPh sb="2" eb="4">
      <t>ダイスケ</t>
    </rPh>
    <phoneticPr fontId="18"/>
  </si>
  <si>
    <t>d-matsumoto@ezweb.ne.jp</t>
    <phoneticPr fontId="18"/>
  </si>
  <si>
    <t>2016.10.17</t>
    <phoneticPr fontId="18"/>
  </si>
  <si>
    <t>d-matsumoto@mmin-net.co.jp</t>
    <phoneticPr fontId="18"/>
  </si>
  <si>
    <t>iPhoneSE（16GB）／銀</t>
  </si>
  <si>
    <t>07038521849</t>
    <phoneticPr fontId="18"/>
  </si>
  <si>
    <t>小嶋大樹</t>
    <rPh sb="0" eb="2">
      <t>コジマ</t>
    </rPh>
    <rPh sb="2" eb="4">
      <t>ダイキ</t>
    </rPh>
    <phoneticPr fontId="18"/>
  </si>
  <si>
    <t>kojima-mmi@ezweb.ne.jp</t>
    <phoneticPr fontId="18"/>
  </si>
  <si>
    <t>2016.10.24</t>
    <phoneticPr fontId="18"/>
  </si>
  <si>
    <t>d-kojima@mmin-net.co.jp</t>
    <phoneticPr fontId="18"/>
  </si>
  <si>
    <t>07038521867</t>
    <phoneticPr fontId="18"/>
  </si>
  <si>
    <t>飯塚武彦</t>
    <rPh sb="0" eb="2">
      <t>イイヅカ</t>
    </rPh>
    <rPh sb="2" eb="4">
      <t>タケヒコ</t>
    </rPh>
    <phoneticPr fontId="18"/>
  </si>
  <si>
    <t>iiduka-mmi@ezweb.ne.jp</t>
    <phoneticPr fontId="18"/>
  </si>
  <si>
    <t>2016.11.2</t>
    <phoneticPr fontId="18"/>
  </si>
  <si>
    <t>iiduka@mmin-net.co.jp</t>
    <phoneticPr fontId="18"/>
  </si>
  <si>
    <t>iphone6s</t>
    <phoneticPr fontId="18"/>
  </si>
  <si>
    <t>07038546729</t>
    <phoneticPr fontId="18"/>
  </si>
  <si>
    <t>安部　亮</t>
    <rPh sb="0" eb="2">
      <t>アベ</t>
    </rPh>
    <rPh sb="3" eb="4">
      <t>リョウ</t>
    </rPh>
    <phoneticPr fontId="18"/>
  </si>
  <si>
    <t>abe-mmi@ezweb.ne.jp</t>
    <phoneticPr fontId="18"/>
  </si>
  <si>
    <t>2017.1.17</t>
    <phoneticPr fontId="18"/>
  </si>
  <si>
    <t>abe@mmin-net.co.jp</t>
    <phoneticPr fontId="18"/>
  </si>
  <si>
    <t>07038546728</t>
    <phoneticPr fontId="18"/>
  </si>
  <si>
    <t>野口　直樹</t>
    <rPh sb="0" eb="2">
      <t>ノグチ</t>
    </rPh>
    <rPh sb="3" eb="5">
      <t>ナオキ</t>
    </rPh>
    <phoneticPr fontId="18"/>
  </si>
  <si>
    <t>noguchi-mmi@ezweb.ne.jp</t>
    <phoneticPr fontId="18"/>
  </si>
  <si>
    <t>noguchi@mmin-net.co.jp　</t>
    <phoneticPr fontId="18"/>
  </si>
  <si>
    <t>07038546732</t>
    <phoneticPr fontId="18"/>
  </si>
  <si>
    <t>西島　春美</t>
    <rPh sb="0" eb="2">
      <t>ニシジマ</t>
    </rPh>
    <rPh sb="3" eb="5">
      <t>ハルミ</t>
    </rPh>
    <phoneticPr fontId="18"/>
  </si>
  <si>
    <t>nishijima-mmi@ezweb.ne.jp</t>
  </si>
  <si>
    <t>nishijima@mmin-net.co.jp</t>
  </si>
  <si>
    <t>07038546730</t>
    <phoneticPr fontId="18"/>
  </si>
  <si>
    <t>日吉　健一郎</t>
    <rPh sb="0" eb="2">
      <t>ヒヨシ</t>
    </rPh>
    <rPh sb="3" eb="6">
      <t>ケンイチロウ</t>
    </rPh>
    <phoneticPr fontId="18"/>
  </si>
  <si>
    <t>hiyoshi-mmi@ezweb.ne.jp</t>
    <phoneticPr fontId="18"/>
  </si>
  <si>
    <t>hiyoshi@mmin-net.co.jp　</t>
    <phoneticPr fontId="18"/>
  </si>
  <si>
    <t>07038546731</t>
    <phoneticPr fontId="18"/>
  </si>
  <si>
    <t>宮澤　惠美子</t>
  </si>
  <si>
    <t>miyazawa-mmi@ezweb.ne.jp</t>
    <phoneticPr fontId="18"/>
  </si>
  <si>
    <t>miyazawa@mmin-net.co.jp</t>
    <phoneticPr fontId="18"/>
  </si>
  <si>
    <t>iphone6</t>
    <phoneticPr fontId="18"/>
  </si>
  <si>
    <t>07038642675</t>
    <phoneticPr fontId="18"/>
  </si>
  <si>
    <t>松山　大輔</t>
    <rPh sb="0" eb="2">
      <t>マツヤマ</t>
    </rPh>
    <rPh sb="3" eb="5">
      <t>ダイスケ</t>
    </rPh>
    <phoneticPr fontId="18"/>
  </si>
  <si>
    <t>da-matsu-mmi@ezweb.ne.jp</t>
    <phoneticPr fontId="18"/>
  </si>
  <si>
    <t>2017.1.25</t>
    <phoneticPr fontId="18"/>
  </si>
  <si>
    <t>matsuyama@mmin-net.co.jp</t>
  </si>
  <si>
    <t>渡辺　孝敬</t>
    <rPh sb="0" eb="2">
      <t>ワタナベ</t>
    </rPh>
    <rPh sb="3" eb="4">
      <t>タカシ</t>
    </rPh>
    <rPh sb="4" eb="5">
      <t>ケイ</t>
    </rPh>
    <phoneticPr fontId="18"/>
  </si>
  <si>
    <t>watanabe-mmi@ezweb.ne.jp</t>
    <phoneticPr fontId="18"/>
  </si>
  <si>
    <t>2017.2.10</t>
    <phoneticPr fontId="18"/>
  </si>
  <si>
    <t>twatanabe@mmin-net.co.jp</t>
  </si>
  <si>
    <t>07038685522</t>
    <phoneticPr fontId="18"/>
  </si>
  <si>
    <t>ユン　ミヨン</t>
  </si>
  <si>
    <t>yun-mmi@ezweb.ne.jp</t>
    <phoneticPr fontId="18"/>
  </si>
  <si>
    <t>2017.2.17</t>
    <phoneticPr fontId="18"/>
  </si>
  <si>
    <t>yun@mmin-net.co.jp</t>
  </si>
  <si>
    <t>07038685523</t>
    <phoneticPr fontId="18"/>
  </si>
  <si>
    <t>ソン　ソンショク</t>
  </si>
  <si>
    <t>son-mmi@ezweb.ne.jp</t>
    <phoneticPr fontId="18"/>
  </si>
  <si>
    <t>son@mmin-net.co.jp</t>
    <phoneticPr fontId="18"/>
  </si>
  <si>
    <t>ｱﾙﾊﾞｲﾄﾄﾚｰﾅｰ</t>
    <phoneticPr fontId="18"/>
  </si>
  <si>
    <t>07038705170</t>
    <phoneticPr fontId="18"/>
  </si>
  <si>
    <t>安藤 はるみ</t>
  </si>
  <si>
    <t>h-ando-mmi@ezweb.ne.jp</t>
    <phoneticPr fontId="18"/>
  </si>
  <si>
    <t>2017.3.2</t>
    <phoneticPr fontId="18"/>
  </si>
  <si>
    <t>h-ando@mmin-net.co.jp</t>
    <phoneticPr fontId="18"/>
  </si>
  <si>
    <t>07038705171</t>
    <phoneticPr fontId="18"/>
  </si>
  <si>
    <t>小板橋 伊津子</t>
    <phoneticPr fontId="18"/>
  </si>
  <si>
    <t>i-koitabashi-mmi@ezweb.ne.jp</t>
    <phoneticPr fontId="18"/>
  </si>
  <si>
    <t>koitabashi@mmin-net.co.jp</t>
    <phoneticPr fontId="18"/>
  </si>
  <si>
    <t>07038705172</t>
    <phoneticPr fontId="18"/>
  </si>
  <si>
    <t>佐々木 里美</t>
  </si>
  <si>
    <t>sa-sasaki-mmi@ezweb.ne.jp</t>
    <phoneticPr fontId="18"/>
  </si>
  <si>
    <t>s-sasaki@mmin-net.co.jp　</t>
    <phoneticPr fontId="18"/>
  </si>
  <si>
    <t>07038705173</t>
    <phoneticPr fontId="18"/>
  </si>
  <si>
    <t>小林 優子</t>
  </si>
  <si>
    <t>i-kobayashi-mmi@ezweb.ne.jp</t>
    <phoneticPr fontId="18"/>
  </si>
  <si>
    <t>kobayashi@mmin-net.co.jp　</t>
    <phoneticPr fontId="18"/>
  </si>
  <si>
    <t>07038705174</t>
    <phoneticPr fontId="18"/>
  </si>
  <si>
    <t>大島 美恵子</t>
  </si>
  <si>
    <t>y-oshima-mmi@ezweb.ne.jp</t>
    <phoneticPr fontId="18"/>
  </si>
  <si>
    <t>ooshima@mmin-net.co.jp</t>
    <phoneticPr fontId="18"/>
  </si>
  <si>
    <t>07038705175</t>
    <phoneticPr fontId="18"/>
  </si>
  <si>
    <t>石橋 洋一</t>
  </si>
  <si>
    <t>ishibashi-mmi@ezweb.ne.jp</t>
    <phoneticPr fontId="18"/>
  </si>
  <si>
    <t>ishibashi@mmin-net.co.jp</t>
    <phoneticPr fontId="18"/>
  </si>
  <si>
    <t>07038705176</t>
    <phoneticPr fontId="18"/>
  </si>
  <si>
    <t>三木　高子</t>
    <rPh sb="0" eb="2">
      <t>ミキ</t>
    </rPh>
    <rPh sb="3" eb="5">
      <t>タカコ</t>
    </rPh>
    <phoneticPr fontId="18"/>
  </si>
  <si>
    <t>miki-mmi@ezweb.ne.jp</t>
    <phoneticPr fontId="18"/>
  </si>
  <si>
    <t>miki@mmin-net.co.jp</t>
    <phoneticPr fontId="18"/>
  </si>
  <si>
    <t>徳永　日出子</t>
    <rPh sb="0" eb="2">
      <t>トクナガ</t>
    </rPh>
    <rPh sb="3" eb="6">
      <t>ヒデコ</t>
    </rPh>
    <phoneticPr fontId="18"/>
  </si>
  <si>
    <t>小熊　正子</t>
    <rPh sb="0" eb="2">
      <t>コグマ</t>
    </rPh>
    <rPh sb="3" eb="5">
      <t>マサコ</t>
    </rPh>
    <phoneticPr fontId="18"/>
  </si>
  <si>
    <t>ｸﾘｰﾝｽﾀｯﾌ</t>
    <phoneticPr fontId="18"/>
  </si>
  <si>
    <t>MARVERA_ホワイト</t>
  </si>
  <si>
    <t>07021657709</t>
    <phoneticPr fontId="18"/>
  </si>
  <si>
    <t>川崎桜本店（人事担当用）</t>
    <rPh sb="0" eb="2">
      <t>カワサキ</t>
    </rPh>
    <rPh sb="2" eb="4">
      <t>サクラモト</t>
    </rPh>
    <rPh sb="4" eb="5">
      <t>テン</t>
    </rPh>
    <rPh sb="6" eb="8">
      <t>ジンジ</t>
    </rPh>
    <rPh sb="8" eb="11">
      <t>タントウヨウ</t>
    </rPh>
    <phoneticPr fontId="18"/>
  </si>
  <si>
    <t>nakashima-mmi@ezweb.ne.jp</t>
    <phoneticPr fontId="18"/>
  </si>
  <si>
    <t>2014.07.28</t>
  </si>
  <si>
    <t>07021657710</t>
    <phoneticPr fontId="18"/>
  </si>
  <si>
    <t>五所川原店</t>
    <rPh sb="0" eb="4">
      <t>ゴショガワラ</t>
    </rPh>
    <rPh sb="4" eb="5">
      <t>テン</t>
    </rPh>
    <phoneticPr fontId="43"/>
  </si>
  <si>
    <t>goshogawara-mmi@ezweb.ne.jp</t>
  </si>
  <si>
    <t>07021657711</t>
    <phoneticPr fontId="18"/>
  </si>
  <si>
    <t>浜田店</t>
    <rPh sb="0" eb="2">
      <t>ハマダ</t>
    </rPh>
    <rPh sb="2" eb="3">
      <t>テン</t>
    </rPh>
    <phoneticPr fontId="43"/>
  </si>
  <si>
    <t>hamada-mmi@ezweb.ne.jp</t>
  </si>
  <si>
    <t>07021657712</t>
    <phoneticPr fontId="18"/>
  </si>
  <si>
    <t>青森柏店</t>
    <rPh sb="0" eb="2">
      <t>アオモリ</t>
    </rPh>
    <rPh sb="2" eb="3">
      <t>カシワ</t>
    </rPh>
    <rPh sb="3" eb="4">
      <t>テン</t>
    </rPh>
    <phoneticPr fontId="43"/>
  </si>
  <si>
    <t>aomorikashiwa-mmi@ezweb.ne.jp</t>
  </si>
  <si>
    <t>07021657713</t>
    <phoneticPr fontId="18"/>
  </si>
  <si>
    <t>三好店</t>
    <rPh sb="0" eb="2">
      <t>ミヨシ</t>
    </rPh>
    <rPh sb="2" eb="3">
      <t>テン</t>
    </rPh>
    <phoneticPr fontId="43"/>
  </si>
  <si>
    <t>miyoshi-mmi@ezweb.ne.jp</t>
  </si>
  <si>
    <t>07021657714</t>
    <phoneticPr fontId="18"/>
  </si>
  <si>
    <t>サンユー新横浜本店</t>
    <rPh sb="4" eb="7">
      <t>シンヨコハマ</t>
    </rPh>
    <rPh sb="7" eb="9">
      <t>ホンテン</t>
    </rPh>
    <phoneticPr fontId="18"/>
  </si>
  <si>
    <t>s.shinyokohama-mmi@ezweb.ne.jp</t>
    <phoneticPr fontId="18"/>
  </si>
  <si>
    <t>07021657715</t>
    <phoneticPr fontId="18"/>
  </si>
  <si>
    <t>郡山店（人事担当用）</t>
    <rPh sb="0" eb="3">
      <t>コオリヤマテン</t>
    </rPh>
    <rPh sb="4" eb="6">
      <t>ジンジ</t>
    </rPh>
    <rPh sb="6" eb="8">
      <t>タントウ</t>
    </rPh>
    <rPh sb="8" eb="9">
      <t>ヨウ</t>
    </rPh>
    <phoneticPr fontId="43"/>
  </si>
  <si>
    <t>tamura-mmi@ezweb.ne.jp</t>
  </si>
  <si>
    <t>07021657716</t>
    <phoneticPr fontId="18"/>
  </si>
  <si>
    <t>新庄店（人事担当用）</t>
    <rPh sb="0" eb="3">
      <t>シンジョウテン</t>
    </rPh>
    <rPh sb="4" eb="6">
      <t>ジンジ</t>
    </rPh>
    <rPh sb="6" eb="9">
      <t>タントウヨウ</t>
    </rPh>
    <phoneticPr fontId="43"/>
  </si>
  <si>
    <t>sato.k-mmi@ezweb.ne.jp</t>
  </si>
  <si>
    <t>07021657717</t>
    <phoneticPr fontId="18"/>
  </si>
  <si>
    <t>市原店（人事担当用）</t>
    <rPh sb="0" eb="2">
      <t>イチハラ</t>
    </rPh>
    <rPh sb="2" eb="3">
      <t>テン</t>
    </rPh>
    <rPh sb="4" eb="6">
      <t>ジンジ</t>
    </rPh>
    <rPh sb="6" eb="8">
      <t>タントウ</t>
    </rPh>
    <rPh sb="8" eb="9">
      <t>ヨウ</t>
    </rPh>
    <phoneticPr fontId="43"/>
  </si>
  <si>
    <t>ando-mmi@ezweb.ne.jp</t>
  </si>
  <si>
    <t>GRATINA2_ホワイト</t>
    <phoneticPr fontId="18"/>
  </si>
  <si>
    <t>07021657718</t>
    <phoneticPr fontId="18"/>
  </si>
  <si>
    <t>柏店（人事担当用）</t>
    <rPh sb="0" eb="1">
      <t>カシワ</t>
    </rPh>
    <rPh sb="1" eb="2">
      <t>テン</t>
    </rPh>
    <rPh sb="3" eb="5">
      <t>ジンジ</t>
    </rPh>
    <rPh sb="5" eb="7">
      <t>タントウ</t>
    </rPh>
    <rPh sb="7" eb="8">
      <t>ヨウ</t>
    </rPh>
    <phoneticPr fontId="43"/>
  </si>
  <si>
    <t>honma-mmi@ezweb.ne.jp</t>
  </si>
  <si>
    <t>2017.1.12</t>
    <phoneticPr fontId="18"/>
  </si>
  <si>
    <t>07021657719</t>
    <phoneticPr fontId="18"/>
  </si>
  <si>
    <t>川崎桜本店</t>
    <rPh sb="0" eb="2">
      <t>カワサキ</t>
    </rPh>
    <rPh sb="2" eb="4">
      <t>サクラモト</t>
    </rPh>
    <rPh sb="4" eb="5">
      <t>テン</t>
    </rPh>
    <phoneticPr fontId="43"/>
  </si>
  <si>
    <t>kawasakisakuramoto-mmi@ezweb.ne.jp</t>
  </si>
  <si>
    <t>08035668948</t>
    <phoneticPr fontId="18"/>
  </si>
  <si>
    <t>仙台新港店（人事担当）</t>
    <rPh sb="0" eb="2">
      <t>センダイ</t>
    </rPh>
    <rPh sb="2" eb="4">
      <t>シンコウ</t>
    </rPh>
    <rPh sb="4" eb="5">
      <t>テン</t>
    </rPh>
    <rPh sb="6" eb="8">
      <t>ジンジ</t>
    </rPh>
    <rPh sb="8" eb="10">
      <t>タントウ</t>
    </rPh>
    <phoneticPr fontId="38"/>
  </si>
  <si>
    <t>sendaishinko-mmi@ezweb.ne.jp</t>
    <phoneticPr fontId="18"/>
  </si>
  <si>
    <t>いわき店（VC切替2015/6/11～）</t>
  </si>
  <si>
    <t>08035668941</t>
    <phoneticPr fontId="18"/>
  </si>
  <si>
    <t>伊達店</t>
    <rPh sb="0" eb="3">
      <t>ダテテン</t>
    </rPh>
    <phoneticPr fontId="38"/>
  </si>
  <si>
    <t>date-mmi@ezweb.ne.jp</t>
  </si>
  <si>
    <t>08035668943</t>
    <phoneticPr fontId="18"/>
  </si>
  <si>
    <t>宮町店</t>
    <rPh sb="0" eb="2">
      <t>ミヤマチ</t>
    </rPh>
    <rPh sb="2" eb="3">
      <t>テン</t>
    </rPh>
    <phoneticPr fontId="38"/>
  </si>
  <si>
    <t>miyamachi-mmi@ezweb.ne.jp</t>
  </si>
  <si>
    <t>08035668940</t>
    <phoneticPr fontId="18"/>
  </si>
  <si>
    <t>村山店</t>
    <rPh sb="0" eb="2">
      <t>ムラヤマ</t>
    </rPh>
    <rPh sb="2" eb="3">
      <t>テン</t>
    </rPh>
    <phoneticPr fontId="38"/>
  </si>
  <si>
    <t>murayama-mmi@ezweb.ne.jp</t>
  </si>
  <si>
    <t>08041838650</t>
    <phoneticPr fontId="18"/>
  </si>
  <si>
    <t>会津若松店</t>
  </si>
  <si>
    <t>aizuwakamatsu-mmi@ezweb.ne.jp</t>
  </si>
  <si>
    <t>08043737693</t>
    <phoneticPr fontId="18"/>
  </si>
  <si>
    <t>会津若松一箕店</t>
  </si>
  <si>
    <t>aizu-ikki-mmi@ezweb.ne.jp</t>
  </si>
  <si>
    <t>08035668945</t>
    <phoneticPr fontId="18"/>
  </si>
  <si>
    <t>米沢店</t>
    <rPh sb="2" eb="3">
      <t>テン</t>
    </rPh>
    <phoneticPr fontId="38"/>
  </si>
  <si>
    <t>yonezawa-mmi@ezweb.ne.jp</t>
  </si>
  <si>
    <t>08041838651</t>
    <phoneticPr fontId="18"/>
  </si>
  <si>
    <t>郡山店</t>
    <rPh sb="2" eb="3">
      <t>テン</t>
    </rPh>
    <phoneticPr fontId="38"/>
  </si>
  <si>
    <t>koriyama-mmi@ezweb.ne.jp</t>
  </si>
  <si>
    <t>08034516586</t>
    <phoneticPr fontId="18"/>
  </si>
  <si>
    <t>古川店</t>
  </si>
  <si>
    <t>furukawa2-mmi@ezweb.ne.jp</t>
    <phoneticPr fontId="18"/>
  </si>
  <si>
    <t>08035668946</t>
    <phoneticPr fontId="18"/>
  </si>
  <si>
    <t>酒田店</t>
    <rPh sb="2" eb="3">
      <t>テン</t>
    </rPh>
    <phoneticPr fontId="38"/>
  </si>
  <si>
    <t>sakata-mmi@ezweb.ne.jp</t>
    <phoneticPr fontId="18"/>
  </si>
  <si>
    <t>09091307322</t>
    <phoneticPr fontId="18"/>
  </si>
  <si>
    <t>新庄店</t>
    <rPh sb="2" eb="3">
      <t>テン</t>
    </rPh>
    <phoneticPr fontId="38"/>
  </si>
  <si>
    <t>shinjo-mmi@ezweb.ne.jp</t>
  </si>
  <si>
    <t>09060337390</t>
    <phoneticPr fontId="18"/>
  </si>
  <si>
    <t>水沢店</t>
    <rPh sb="2" eb="3">
      <t>テン</t>
    </rPh>
    <phoneticPr fontId="38"/>
  </si>
  <si>
    <t>mizusawa-mmi@ezweb.ne.jp</t>
  </si>
  <si>
    <t>08034516664</t>
    <phoneticPr fontId="18"/>
  </si>
  <si>
    <t>石巻店</t>
  </si>
  <si>
    <t>ishinomaki-mmi@ezweb.ne.jp</t>
  </si>
  <si>
    <t>08034516692</t>
    <phoneticPr fontId="18"/>
  </si>
  <si>
    <t>仙台駅東店</t>
    <rPh sb="4" eb="5">
      <t>テン</t>
    </rPh>
    <phoneticPr fontId="38"/>
  </si>
  <si>
    <t>sendaiekihigashi-mmi@ezweb.ne.jp</t>
  </si>
  <si>
    <t>08034516665</t>
    <phoneticPr fontId="18"/>
  </si>
  <si>
    <t>仙台泉店</t>
    <rPh sb="3" eb="4">
      <t>テン</t>
    </rPh>
    <phoneticPr fontId="38"/>
  </si>
  <si>
    <t>sendaiizumi-mmi@ezweb.ne.jp</t>
  </si>
  <si>
    <t>08035668947</t>
    <phoneticPr fontId="18"/>
  </si>
  <si>
    <t>鶴岡店</t>
  </si>
  <si>
    <t>tsuruoka-mmi@ezweb.ne.jp</t>
  </si>
  <si>
    <t>08035516432</t>
    <phoneticPr fontId="18"/>
  </si>
  <si>
    <t>鶴岡店(人事担当者用）</t>
    <rPh sb="2" eb="3">
      <t>テン</t>
    </rPh>
    <phoneticPr fontId="38"/>
  </si>
  <si>
    <t>igarashi-mmi@ezweb.ne.jp</t>
  </si>
  <si>
    <t>08035668942</t>
    <phoneticPr fontId="18"/>
  </si>
  <si>
    <t>福島店</t>
  </si>
  <si>
    <t>fukushima-mmi@ezweb.ne.jp</t>
  </si>
  <si>
    <t>MARVERA_ホワイト</t>
    <phoneticPr fontId="18"/>
  </si>
  <si>
    <t>08035668944</t>
    <phoneticPr fontId="18"/>
  </si>
  <si>
    <t>寒河江店</t>
    <rPh sb="0" eb="3">
      <t>サガエ</t>
    </rPh>
    <rPh sb="3" eb="4">
      <t>テン</t>
    </rPh>
    <phoneticPr fontId="38"/>
  </si>
  <si>
    <t>sagae-mmi@ezweb.ne.jp</t>
    <phoneticPr fontId="18"/>
  </si>
  <si>
    <t>09060337297</t>
    <phoneticPr fontId="18"/>
  </si>
  <si>
    <t>北上店</t>
    <rPh sb="2" eb="3">
      <t>テン</t>
    </rPh>
    <phoneticPr fontId="38"/>
  </si>
  <si>
    <t>kitakami-mmi@ezweb.ne.jp</t>
  </si>
  <si>
    <t>09091307272</t>
    <phoneticPr fontId="18"/>
  </si>
  <si>
    <t>名取店</t>
  </si>
  <si>
    <t>natori-mmi@ezweb.ne.jp</t>
  </si>
  <si>
    <t>08041407802</t>
    <phoneticPr fontId="18"/>
  </si>
  <si>
    <t>相模原店</t>
    <rPh sb="0" eb="4">
      <t>サガミハラテン</t>
    </rPh>
    <phoneticPr fontId="38"/>
  </si>
  <si>
    <t>sagamihara-mmi@ezweb.ne.jp</t>
  </si>
  <si>
    <t>08035668967</t>
    <phoneticPr fontId="18"/>
  </si>
  <si>
    <t>千葉ニュータウン店</t>
    <rPh sb="0" eb="2">
      <t>チバ</t>
    </rPh>
    <rPh sb="8" eb="9">
      <t>テン</t>
    </rPh>
    <phoneticPr fontId="38"/>
  </si>
  <si>
    <t>chibant-mmi@ezweb.ne.jp</t>
  </si>
  <si>
    <t>08035668964</t>
    <phoneticPr fontId="18"/>
  </si>
  <si>
    <t>千葉北店</t>
    <rPh sb="0" eb="2">
      <t>チバ</t>
    </rPh>
    <rPh sb="2" eb="4">
      <t>キタテン</t>
    </rPh>
    <phoneticPr fontId="38"/>
  </si>
  <si>
    <t>chibakita-mmi@ezweb.ne.jp</t>
  </si>
  <si>
    <t>08035668963</t>
    <phoneticPr fontId="18"/>
  </si>
  <si>
    <t>千葉みなと店</t>
    <rPh sb="0" eb="2">
      <t>チバ</t>
    </rPh>
    <rPh sb="5" eb="6">
      <t>テン</t>
    </rPh>
    <phoneticPr fontId="38"/>
  </si>
  <si>
    <t xml:space="preserve">chibaminato-mmi@ezweb.ne.jp
</t>
  </si>
  <si>
    <t>08035668970</t>
    <phoneticPr fontId="18"/>
  </si>
  <si>
    <t>つくば店</t>
    <rPh sb="3" eb="4">
      <t>テン</t>
    </rPh>
    <phoneticPr fontId="38"/>
  </si>
  <si>
    <t>tsukuba-mmi@ezweb.ne.jp</t>
  </si>
  <si>
    <t>08035668961</t>
    <phoneticPr fontId="18"/>
  </si>
  <si>
    <t>深谷店</t>
    <rPh sb="0" eb="2">
      <t>フカヤ</t>
    </rPh>
    <rPh sb="2" eb="3">
      <t>テン</t>
    </rPh>
    <phoneticPr fontId="38"/>
  </si>
  <si>
    <t>fukaya-mmi@ezweb.ne.jp</t>
    <phoneticPr fontId="18"/>
  </si>
  <si>
    <t>08035668965</t>
    <phoneticPr fontId="18"/>
  </si>
  <si>
    <t>市原店</t>
  </si>
  <si>
    <t>ichihara-mmi@ezweb.ne.jp</t>
  </si>
  <si>
    <t>08049478683</t>
    <phoneticPr fontId="18"/>
  </si>
  <si>
    <t>綾瀬上土棚店</t>
  </si>
  <si>
    <t>kamitsuchidana-mmi@ezweb.ne.jp</t>
  </si>
  <si>
    <t>09098548627</t>
    <phoneticPr fontId="18"/>
  </si>
  <si>
    <t>横浜町田店</t>
  </si>
  <si>
    <t>yokohamamachida-mmi@ezweb.ne.jp</t>
  </si>
  <si>
    <t>08034972479</t>
    <phoneticPr fontId="18"/>
  </si>
  <si>
    <t>横浜町田店店（人事担当者用）</t>
    <rPh sb="5" eb="6">
      <t>テン</t>
    </rPh>
    <rPh sb="7" eb="9">
      <t>ジンジ</t>
    </rPh>
    <rPh sb="9" eb="11">
      <t>タントウ</t>
    </rPh>
    <rPh sb="11" eb="12">
      <t>シャ</t>
    </rPh>
    <rPh sb="12" eb="13">
      <t>ヨウ</t>
    </rPh>
    <phoneticPr fontId="38"/>
  </si>
  <si>
    <t>skobayashi-mmi@ezweb.ne.jp</t>
  </si>
  <si>
    <t>08047189162</t>
    <phoneticPr fontId="18"/>
  </si>
  <si>
    <t>蒲田駅東店</t>
  </si>
  <si>
    <t>kamataekihigashi-mmi@ezweb.ne.jp</t>
  </si>
  <si>
    <t>08079574241</t>
    <phoneticPr fontId="18"/>
  </si>
  <si>
    <t>蒲田駅東店（人事担当者用）</t>
  </si>
  <si>
    <t>kobayashi-mmi@ezweb.ne.jp</t>
  </si>
  <si>
    <t>08046699037</t>
    <phoneticPr fontId="18"/>
  </si>
  <si>
    <t>茅ヶ崎店</t>
  </si>
  <si>
    <t>chigasaki-mmi@ezweb.ne.jp</t>
  </si>
  <si>
    <t>08035668960</t>
    <phoneticPr fontId="18"/>
  </si>
  <si>
    <t>古河店</t>
  </si>
  <si>
    <t>koga-mmi@ezweb.ne.jp</t>
  </si>
  <si>
    <t>09098256559</t>
    <phoneticPr fontId="18"/>
  </si>
  <si>
    <t>所沢店</t>
  </si>
  <si>
    <t>tokorozawa-mmi@ezweb.ne.jp</t>
  </si>
  <si>
    <t>08049374801</t>
    <phoneticPr fontId="18"/>
  </si>
  <si>
    <t>小山千駄塚店</t>
  </si>
  <si>
    <t>sendazuka-mmi@ezweb.ne.jp</t>
    <phoneticPr fontId="18"/>
  </si>
  <si>
    <t>08034516464</t>
    <phoneticPr fontId="18"/>
  </si>
  <si>
    <t>昭島店</t>
  </si>
  <si>
    <t>akishima-mmi@ezweb.ne.jp</t>
  </si>
  <si>
    <t>08079580947</t>
    <phoneticPr fontId="18"/>
  </si>
  <si>
    <t>昭島店(人事担当者用）</t>
  </si>
  <si>
    <t>ohkubo-mmi@ezweb.ne.jp</t>
  </si>
  <si>
    <t>08035668968</t>
    <phoneticPr fontId="18"/>
  </si>
  <si>
    <t>松飛台店(人事担当者用）</t>
  </si>
  <si>
    <t>matsuhidai-mmi@ezweb.ne.jp</t>
  </si>
  <si>
    <t>09091307333</t>
    <phoneticPr fontId="18"/>
  </si>
  <si>
    <t>新小岩店</t>
  </si>
  <si>
    <t>shinkoiwa-mmi@ezweb.ne.jp</t>
  </si>
  <si>
    <t>08035668962</t>
    <phoneticPr fontId="18"/>
  </si>
  <si>
    <t>清河寺店</t>
  </si>
  <si>
    <t>seiganji-mmi@ezweb.ne.jp</t>
  </si>
  <si>
    <t>08046696395</t>
    <phoneticPr fontId="18"/>
  </si>
  <si>
    <t>青梅新町店</t>
  </si>
  <si>
    <t>oumeshimmachi-mmi@ezweb.ne.jp</t>
  </si>
  <si>
    <t>09098563239</t>
    <phoneticPr fontId="18"/>
  </si>
  <si>
    <t>青梅店</t>
  </si>
  <si>
    <t>oume-mmi@ezweb.ne.jp</t>
  </si>
  <si>
    <t>08034516457</t>
    <phoneticPr fontId="18"/>
  </si>
  <si>
    <t>石岡店</t>
  </si>
  <si>
    <t>ishioka-mmi@ezweb.ne.jp</t>
  </si>
  <si>
    <t>09098552838</t>
    <phoneticPr fontId="18"/>
  </si>
  <si>
    <t>川越店</t>
  </si>
  <si>
    <t>kawagoe-mmi@ezweb.ne.jp</t>
  </si>
  <si>
    <t>08046732883</t>
    <phoneticPr fontId="18"/>
  </si>
  <si>
    <t>川口店</t>
  </si>
  <si>
    <t>kawaguchi-mmi@ezweb.ne.jp</t>
  </si>
  <si>
    <t>08045842248</t>
    <phoneticPr fontId="18"/>
  </si>
  <si>
    <t>大宮駅前店</t>
  </si>
  <si>
    <t>oomiyaekimae-mmi@ezweb.ne.jp</t>
  </si>
  <si>
    <t>09091308101</t>
    <phoneticPr fontId="18"/>
  </si>
  <si>
    <t>大山店</t>
  </si>
  <si>
    <t>o-yama-mmi@ezweb.ne.jp</t>
  </si>
  <si>
    <t>08034516458</t>
    <phoneticPr fontId="18"/>
  </si>
  <si>
    <t>筑西店</t>
  </si>
  <si>
    <t>chikusei-mmi@ezweb.ne.jp</t>
  </si>
  <si>
    <t>09060337090</t>
    <phoneticPr fontId="18"/>
  </si>
  <si>
    <t>土浦店</t>
  </si>
  <si>
    <t>tsutiura-mmi@ezweb.ne.jp</t>
  </si>
  <si>
    <t>2016.10.5</t>
    <phoneticPr fontId="18"/>
  </si>
  <si>
    <t>08034516451</t>
    <phoneticPr fontId="18"/>
  </si>
  <si>
    <t>入間店</t>
  </si>
  <si>
    <t>iruma-mmi@ezweb.ne.jp</t>
  </si>
  <si>
    <t>08035668969</t>
    <phoneticPr fontId="18"/>
  </si>
  <si>
    <t>柏店</t>
  </si>
  <si>
    <t>kashiwa-mmi@ezweb.ne.jp</t>
  </si>
  <si>
    <t>08047189164</t>
    <phoneticPr fontId="18"/>
  </si>
  <si>
    <t>八王子四谷店</t>
  </si>
  <si>
    <t>hyotsuya-mmi@ezweb.ne.jp</t>
  </si>
  <si>
    <t>08079508296</t>
    <phoneticPr fontId="18"/>
  </si>
  <si>
    <t>八王子四谷店(人事担当者用）</t>
  </si>
  <si>
    <t>sawada-mmi@ezweb.ne.jp</t>
  </si>
  <si>
    <t>08034516700</t>
    <phoneticPr fontId="18"/>
  </si>
  <si>
    <t>八千代東店</t>
  </si>
  <si>
    <t>yachiyohigashi-mmi@ezweb.ne.jp</t>
  </si>
  <si>
    <t>08043761739</t>
    <phoneticPr fontId="18"/>
  </si>
  <si>
    <t>八千代緑が丘店</t>
  </si>
  <si>
    <t>ymidorigaoka-mmi@ezweb.ne.jp</t>
  </si>
  <si>
    <t>08041408943</t>
    <phoneticPr fontId="18"/>
  </si>
  <si>
    <t>茂原店</t>
  </si>
  <si>
    <t>mobara-mmi@ezweb.ne.jp</t>
  </si>
  <si>
    <t>08035668959</t>
    <phoneticPr fontId="18"/>
  </si>
  <si>
    <t>鷲宮店</t>
  </si>
  <si>
    <t>washimiya-mmi@ezweb.ne.jp</t>
  </si>
  <si>
    <t>08079587351</t>
    <phoneticPr fontId="18"/>
  </si>
  <si>
    <t>鷲宮店(人事担当者用）</t>
  </si>
  <si>
    <t>koitabashi-mmi@ezweb.ne.jp</t>
  </si>
  <si>
    <t>08049082196</t>
    <phoneticPr fontId="18"/>
  </si>
  <si>
    <t>東大和店</t>
    <rPh sb="0" eb="3">
      <t>ヒガシヤマト</t>
    </rPh>
    <rPh sb="3" eb="4">
      <t>テン</t>
    </rPh>
    <phoneticPr fontId="38"/>
  </si>
  <si>
    <t>higashiyamato-mmi@ezweb.ne.jp</t>
  </si>
  <si>
    <t>08032706638</t>
    <phoneticPr fontId="18"/>
  </si>
  <si>
    <t>赤塚店</t>
    <rPh sb="0" eb="3">
      <t>アカツカテン</t>
    </rPh>
    <phoneticPr fontId="33"/>
  </si>
  <si>
    <t>akatsuka-mmi@ezweb.ne.jp</t>
  </si>
  <si>
    <t>08094571849</t>
    <phoneticPr fontId="18"/>
  </si>
  <si>
    <t>新小岩店(人事担当者用）</t>
  </si>
  <si>
    <t>yanagi-mmi@ezweb.ne.jp</t>
  </si>
  <si>
    <t>08041449490</t>
    <phoneticPr fontId="18"/>
  </si>
  <si>
    <t>弘前店</t>
    <rPh sb="0" eb="2">
      <t>ヒロサキ</t>
    </rPh>
    <rPh sb="2" eb="3">
      <t>テン</t>
    </rPh>
    <phoneticPr fontId="33"/>
  </si>
  <si>
    <t>hirosaki-mmi@ezweb.ne.jp</t>
  </si>
  <si>
    <t>08041449361</t>
    <phoneticPr fontId="18"/>
  </si>
  <si>
    <t>黒石店</t>
    <rPh sb="0" eb="3">
      <t>クロイシテン</t>
    </rPh>
    <phoneticPr fontId="33"/>
  </si>
  <si>
    <t>kuroishi-mmi@ezweb.ne.jp</t>
  </si>
  <si>
    <t>GRATINA_ホワイト</t>
    <phoneticPr fontId="18"/>
  </si>
  <si>
    <t>08098680084</t>
    <phoneticPr fontId="18"/>
  </si>
  <si>
    <t>ホテル町田ヴィラ①（ＭＭＩ用）</t>
    <rPh sb="3" eb="5">
      <t>マチダ</t>
    </rPh>
    <rPh sb="13" eb="14">
      <t>ヨウ</t>
    </rPh>
    <phoneticPr fontId="18"/>
  </si>
  <si>
    <t>h.machida1-mmi@ezweb.ne.jp</t>
    <phoneticPr fontId="18"/>
  </si>
  <si>
    <t>2015.3.6</t>
    <phoneticPr fontId="18"/>
  </si>
  <si>
    <t>08098680085</t>
    <phoneticPr fontId="18"/>
  </si>
  <si>
    <t>ホテル町田ヴィラ②（ホテル用）</t>
    <rPh sb="3" eb="5">
      <t>マチダ</t>
    </rPh>
    <rPh sb="13" eb="14">
      <t>ヨウ</t>
    </rPh>
    <phoneticPr fontId="18"/>
  </si>
  <si>
    <t>h.machida2-mmi@ezweb.ne.jp</t>
    <phoneticPr fontId="18"/>
  </si>
  <si>
    <t>08035668949</t>
    <phoneticPr fontId="18"/>
  </si>
  <si>
    <t>つくば店（人事担当）</t>
    <rPh sb="3" eb="4">
      <t>テン</t>
    </rPh>
    <rPh sb="5" eb="7">
      <t>ジンジ</t>
    </rPh>
    <rPh sb="7" eb="9">
      <t>タントウ</t>
    </rPh>
    <phoneticPr fontId="38"/>
  </si>
  <si>
    <t>riizumi-mmi@ezweb.ne.jp</t>
    <phoneticPr fontId="18"/>
  </si>
  <si>
    <t>小名浜店（VC切替2015/6/11～）</t>
  </si>
  <si>
    <t>09091308196</t>
    <phoneticPr fontId="18"/>
  </si>
  <si>
    <t>橋本台店</t>
    <phoneticPr fontId="18"/>
  </si>
  <si>
    <t>hashimotodai-mmi@ezweb.ne.jp</t>
  </si>
  <si>
    <t>08041306173</t>
    <phoneticPr fontId="18"/>
  </si>
  <si>
    <t>古河北店</t>
    <rPh sb="0" eb="2">
      <t>コガ</t>
    </rPh>
    <rPh sb="2" eb="3">
      <t>キタ</t>
    </rPh>
    <rPh sb="3" eb="4">
      <t>テン</t>
    </rPh>
    <phoneticPr fontId="38"/>
  </si>
  <si>
    <t>kogakita-mmi@ezweb.ne.jp</t>
    <phoneticPr fontId="18"/>
  </si>
  <si>
    <t>東大和店（人事担当用）</t>
    <phoneticPr fontId="18"/>
  </si>
  <si>
    <t>07036192445</t>
    <phoneticPr fontId="18"/>
  </si>
  <si>
    <t>千葉みなと店（人事担当用）</t>
    <rPh sb="0" eb="2">
      <t>チバ</t>
    </rPh>
    <rPh sb="5" eb="6">
      <t>テン</t>
    </rPh>
    <rPh sb="7" eb="9">
      <t>ジンジ</t>
    </rPh>
    <rPh sb="9" eb="12">
      <t>タントウヨウ</t>
    </rPh>
    <phoneticPr fontId="38"/>
  </si>
  <si>
    <t>yamamura-mmi@ezweb.ne.jp</t>
    <phoneticPr fontId="18"/>
  </si>
  <si>
    <t>2016.03.04</t>
    <phoneticPr fontId="18"/>
  </si>
  <si>
    <t>07036192446</t>
    <phoneticPr fontId="18"/>
  </si>
  <si>
    <t>tokuda-mmi@ezweb.ne.jp</t>
    <phoneticPr fontId="18"/>
  </si>
  <si>
    <t>07036192447</t>
    <phoneticPr fontId="18"/>
  </si>
  <si>
    <t>綾瀬上土棚店（人事担当用）</t>
    <rPh sb="0" eb="2">
      <t>アヤセ</t>
    </rPh>
    <rPh sb="2" eb="5">
      <t>カミツチダナ</t>
    </rPh>
    <rPh sb="5" eb="6">
      <t>テン</t>
    </rPh>
    <rPh sb="7" eb="9">
      <t>ジンジ</t>
    </rPh>
    <rPh sb="9" eb="12">
      <t>タントウヨウ</t>
    </rPh>
    <phoneticPr fontId="38"/>
  </si>
  <si>
    <t>ssasaki-mmi@ezweb.ne.jp</t>
    <phoneticPr fontId="18"/>
  </si>
  <si>
    <t>07038192291</t>
    <phoneticPr fontId="18"/>
  </si>
  <si>
    <t>エンパイア</t>
    <phoneticPr fontId="38"/>
  </si>
  <si>
    <t>sheraton-mmi@ezweb.ne.jp</t>
    <phoneticPr fontId="18"/>
  </si>
  <si>
    <t>シェラトン都ホテル</t>
    <phoneticPr fontId="18"/>
  </si>
  <si>
    <t>2016.07.04</t>
    <phoneticPr fontId="18"/>
  </si>
  <si>
    <t>07038546708</t>
    <phoneticPr fontId="18"/>
  </si>
  <si>
    <t>荒田島店</t>
    <phoneticPr fontId="38"/>
  </si>
  <si>
    <t>aratajima-mmi@ezweb.ne.jp</t>
    <phoneticPr fontId="18"/>
  </si>
  <si>
    <t>2017.1.16</t>
    <phoneticPr fontId="18"/>
  </si>
  <si>
    <t>07038546709</t>
    <phoneticPr fontId="18"/>
  </si>
  <si>
    <t>香貫店</t>
    <phoneticPr fontId="38"/>
  </si>
  <si>
    <t>kanuki-mmi@ezweb.ne.jp</t>
    <phoneticPr fontId="18"/>
  </si>
  <si>
    <t>07038546710</t>
    <phoneticPr fontId="18"/>
  </si>
  <si>
    <t>函南店</t>
    <phoneticPr fontId="38"/>
  </si>
  <si>
    <t>kannami-mmi@ezweb.ne.jp</t>
    <phoneticPr fontId="18"/>
  </si>
  <si>
    <t>07038546711</t>
    <phoneticPr fontId="18"/>
  </si>
  <si>
    <t>裾野北店</t>
    <phoneticPr fontId="38"/>
  </si>
  <si>
    <t>susonokita-mmi@ezweb.ne.jp</t>
    <phoneticPr fontId="18"/>
  </si>
  <si>
    <t>07038546712</t>
    <phoneticPr fontId="18"/>
  </si>
  <si>
    <t>鷹岡店</t>
    <phoneticPr fontId="38"/>
  </si>
  <si>
    <t>takaoka-mmi@ezweb.ne.jp</t>
    <phoneticPr fontId="18"/>
  </si>
  <si>
    <t>07038546713</t>
    <phoneticPr fontId="18"/>
  </si>
  <si>
    <t>中原店</t>
    <phoneticPr fontId="38"/>
  </si>
  <si>
    <t>nakahara-mmi@ezweb.ne.jp</t>
    <phoneticPr fontId="18"/>
  </si>
  <si>
    <t>07038546714</t>
    <phoneticPr fontId="18"/>
  </si>
  <si>
    <t>沼津店</t>
    <phoneticPr fontId="38"/>
  </si>
  <si>
    <t>numadu-mmi@ezweb.ne.jp</t>
    <phoneticPr fontId="18"/>
  </si>
  <si>
    <t>07038546715</t>
    <phoneticPr fontId="18"/>
  </si>
  <si>
    <t>萩原東店</t>
    <phoneticPr fontId="38"/>
  </si>
  <si>
    <t>hagiwarahigasi-mmi@ezweb.ne.jp</t>
    <phoneticPr fontId="18"/>
  </si>
  <si>
    <t>07038546716</t>
    <phoneticPr fontId="18"/>
  </si>
  <si>
    <t>萩原店ライト館</t>
    <rPh sb="0" eb="2">
      <t>ハギワラ</t>
    </rPh>
    <rPh sb="2" eb="3">
      <t>テン</t>
    </rPh>
    <rPh sb="6" eb="7">
      <t>ヤカタ</t>
    </rPh>
    <phoneticPr fontId="38"/>
  </si>
  <si>
    <t>raito.hagiwara-mmi@ezweb.ne.jp</t>
    <phoneticPr fontId="18"/>
  </si>
  <si>
    <t>07038546717</t>
    <phoneticPr fontId="18"/>
  </si>
  <si>
    <t>富士宮駅南店</t>
    <phoneticPr fontId="38"/>
  </si>
  <si>
    <t>hujinomiya-mmi@ezweb.ne.jp</t>
    <phoneticPr fontId="18"/>
  </si>
  <si>
    <t>07038546718</t>
    <phoneticPr fontId="18"/>
  </si>
  <si>
    <t>吉原店</t>
    <phoneticPr fontId="38"/>
  </si>
  <si>
    <t>yosiwara-mmi@ezweb.ne.jp</t>
    <phoneticPr fontId="18"/>
  </si>
  <si>
    <t>07038546719</t>
    <phoneticPr fontId="18"/>
  </si>
  <si>
    <t>メガシティ静岡店</t>
    <phoneticPr fontId="38"/>
  </si>
  <si>
    <t>mega-mmi@ezweb.ne.jp</t>
    <phoneticPr fontId="18"/>
  </si>
  <si>
    <t>07038546720</t>
    <phoneticPr fontId="18"/>
  </si>
  <si>
    <t>草薙アピア店</t>
    <rPh sb="0" eb="2">
      <t>クサナギ</t>
    </rPh>
    <rPh sb="5" eb="6">
      <t>テン</t>
    </rPh>
    <phoneticPr fontId="38"/>
  </si>
  <si>
    <t>kusanagi-mmi@ezweb.ne.jp</t>
    <phoneticPr fontId="18"/>
  </si>
  <si>
    <t>07038546721</t>
    <phoneticPr fontId="18"/>
  </si>
  <si>
    <t>袖師店</t>
    <phoneticPr fontId="38"/>
  </si>
  <si>
    <t>sodeshi-mmi@ezweb.ne.jp</t>
    <phoneticPr fontId="18"/>
  </si>
  <si>
    <t>07038546722</t>
    <phoneticPr fontId="18"/>
  </si>
  <si>
    <t>東新田店</t>
    <phoneticPr fontId="38"/>
  </si>
  <si>
    <t>toushinden-mmi@ezweb.ne.jp</t>
    <phoneticPr fontId="18"/>
  </si>
  <si>
    <t>07038546723</t>
    <phoneticPr fontId="18"/>
  </si>
  <si>
    <t>鳥坂店</t>
    <phoneticPr fontId="38"/>
  </si>
  <si>
    <t>torisaka-mmi@ezweb.ne.jp</t>
    <phoneticPr fontId="18"/>
  </si>
  <si>
    <t>07038546724</t>
    <phoneticPr fontId="18"/>
  </si>
  <si>
    <t>水道町店</t>
    <rPh sb="0" eb="3">
      <t>スイドウチョウ</t>
    </rPh>
    <rPh sb="3" eb="4">
      <t>ミセ</t>
    </rPh>
    <phoneticPr fontId="38"/>
  </si>
  <si>
    <t>suidocho-mmi@ezweb.ne.jp</t>
    <phoneticPr fontId="18"/>
  </si>
  <si>
    <t>07038546725</t>
    <phoneticPr fontId="18"/>
  </si>
  <si>
    <t>ツインパーク村松店</t>
    <phoneticPr fontId="38"/>
  </si>
  <si>
    <t>muramatu-mmi@ezweb.ne.jp</t>
    <phoneticPr fontId="18"/>
  </si>
  <si>
    <t>07038546726</t>
    <phoneticPr fontId="18"/>
  </si>
  <si>
    <t>ライフ川崎店</t>
    <rPh sb="3" eb="5">
      <t>カワサキ</t>
    </rPh>
    <rPh sb="5" eb="6">
      <t>ミセ</t>
    </rPh>
    <phoneticPr fontId="38"/>
  </si>
  <si>
    <t>raihu.kawasaki-mmi@ezweb.ne.jp</t>
    <phoneticPr fontId="18"/>
  </si>
  <si>
    <t>07038546727</t>
    <phoneticPr fontId="18"/>
  </si>
  <si>
    <t>ＡＩＳ昭島店</t>
    <rPh sb="3" eb="6">
      <t>アキシマテン</t>
    </rPh>
    <phoneticPr fontId="38"/>
  </si>
  <si>
    <t>ais.akishima-mmi@ezweb.ne.jp</t>
    <phoneticPr fontId="18"/>
  </si>
  <si>
    <t>ソン　ソンショク</t>
    <phoneticPr fontId="18"/>
  </si>
  <si>
    <t>ユン　ミヨン</t>
    <phoneticPr fontId="18"/>
  </si>
  <si>
    <t>07038628149</t>
    <phoneticPr fontId="18"/>
  </si>
  <si>
    <t>070-3862-8149</t>
    <phoneticPr fontId="18"/>
  </si>
  <si>
    <t>野口　直樹</t>
  </si>
  <si>
    <t>日吉　健一郎</t>
  </si>
  <si>
    <t>日浦　健二</t>
    <rPh sb="0" eb="2">
      <t>ヒウラ</t>
    </rPh>
    <rPh sb="3" eb="5">
      <t>ケンジ</t>
    </rPh>
    <phoneticPr fontId="18"/>
  </si>
  <si>
    <t>福岡　法和</t>
    <rPh sb="0" eb="2">
      <t>フクオカ</t>
    </rPh>
    <rPh sb="3" eb="4">
      <t>ホウ</t>
    </rPh>
    <rPh sb="4" eb="5">
      <t>ワ</t>
    </rPh>
    <phoneticPr fontId="18"/>
  </si>
  <si>
    <t>出口　栄一</t>
  </si>
  <si>
    <t>松田　豪之扶</t>
    <rPh sb="0" eb="2">
      <t>マツダ</t>
    </rPh>
    <rPh sb="3" eb="4">
      <t>ゴウ</t>
    </rPh>
    <rPh sb="4" eb="5">
      <t>ノ</t>
    </rPh>
    <rPh sb="5" eb="6">
      <t>フ</t>
    </rPh>
    <phoneticPr fontId="18"/>
  </si>
  <si>
    <t>野田　哲男</t>
  </si>
  <si>
    <t>野田　哲男</t>
    <rPh sb="0" eb="2">
      <t>ノダ</t>
    </rPh>
    <rPh sb="3" eb="4">
      <t>テツ</t>
    </rPh>
    <rPh sb="4" eb="5">
      <t>オトコ</t>
    </rPh>
    <phoneticPr fontId="18"/>
  </si>
  <si>
    <t>三浦　学</t>
    <rPh sb="0" eb="2">
      <t>ミウラ</t>
    </rPh>
    <rPh sb="3" eb="4">
      <t>マナ</t>
    </rPh>
    <phoneticPr fontId="18"/>
  </si>
  <si>
    <t>川上　悟</t>
    <rPh sb="0" eb="2">
      <t>カワカミ</t>
    </rPh>
    <rPh sb="3" eb="4">
      <t>サト</t>
    </rPh>
    <phoneticPr fontId="18"/>
  </si>
  <si>
    <t>水澤　浩二郎</t>
    <rPh sb="0" eb="1">
      <t>ミズ</t>
    </rPh>
    <rPh sb="1" eb="2">
      <t>サワ</t>
    </rPh>
    <rPh sb="3" eb="5">
      <t>コウジ</t>
    </rPh>
    <phoneticPr fontId="18"/>
  </si>
  <si>
    <t>松岡　幸恵</t>
    <rPh sb="0" eb="2">
      <t>マツオカ</t>
    </rPh>
    <rPh sb="3" eb="5">
      <t>サチエ</t>
    </rPh>
    <phoneticPr fontId="18"/>
  </si>
  <si>
    <t>山本　喬子</t>
    <rPh sb="0" eb="2">
      <t>ヤマモト</t>
    </rPh>
    <rPh sb="3" eb="4">
      <t>キョウ</t>
    </rPh>
    <rPh sb="4" eb="5">
      <t>コ</t>
    </rPh>
    <phoneticPr fontId="18"/>
  </si>
  <si>
    <t>白井　正美</t>
    <rPh sb="0" eb="2">
      <t>シライ</t>
    </rPh>
    <rPh sb="3" eb="5">
      <t>マサミ</t>
    </rPh>
    <phoneticPr fontId="18"/>
  </si>
  <si>
    <t>松本　泰貴</t>
    <rPh sb="0" eb="2">
      <t>マツモト</t>
    </rPh>
    <rPh sb="3" eb="4">
      <t>ヤスシ</t>
    </rPh>
    <rPh sb="4" eb="5">
      <t>キ</t>
    </rPh>
    <phoneticPr fontId="18"/>
  </si>
  <si>
    <t>安部　亮</t>
  </si>
  <si>
    <t>岸　優里</t>
  </si>
  <si>
    <t>鑪（たたら）康介</t>
  </si>
  <si>
    <t>松本　大輔</t>
  </si>
  <si>
    <t>鈴木　圭</t>
    <rPh sb="0" eb="2">
      <t>スズキ</t>
    </rPh>
    <rPh sb="3" eb="4">
      <t>ケイ</t>
    </rPh>
    <phoneticPr fontId="18"/>
  </si>
  <si>
    <t>佐藤　友岐夫</t>
  </si>
  <si>
    <t>東郷　一哉</t>
    <rPh sb="0" eb="2">
      <t>トウゴウ</t>
    </rPh>
    <rPh sb="3" eb="5">
      <t>カズヤ</t>
    </rPh>
    <phoneticPr fontId="18"/>
  </si>
  <si>
    <t>長﨑　義徳</t>
  </si>
  <si>
    <t>関　英夫</t>
  </si>
  <si>
    <t>田中　宏樹</t>
    <rPh sb="0" eb="2">
      <t>タナカ</t>
    </rPh>
    <rPh sb="3" eb="5">
      <t>ヒロキ</t>
    </rPh>
    <phoneticPr fontId="18"/>
  </si>
  <si>
    <t>下田　隆弘</t>
    <rPh sb="0" eb="2">
      <t>シモダ</t>
    </rPh>
    <rPh sb="3" eb="4">
      <t>タカシ</t>
    </rPh>
    <rPh sb="4" eb="5">
      <t>ヒロシ</t>
    </rPh>
    <phoneticPr fontId="18"/>
  </si>
  <si>
    <t>伏見　晃一</t>
    <rPh sb="0" eb="2">
      <t>フシミ</t>
    </rPh>
    <rPh sb="3" eb="5">
      <t>コウイチ</t>
    </rPh>
    <phoneticPr fontId="18"/>
  </si>
  <si>
    <t>大澤　邦明</t>
    <rPh sb="0" eb="2">
      <t>オオサワ</t>
    </rPh>
    <rPh sb="3" eb="5">
      <t>クニアキ</t>
    </rPh>
    <phoneticPr fontId="18"/>
  </si>
  <si>
    <t>森　美弥</t>
    <rPh sb="0" eb="1">
      <t>モリ</t>
    </rPh>
    <rPh sb="2" eb="3">
      <t>ビ</t>
    </rPh>
    <rPh sb="3" eb="4">
      <t>ヤ</t>
    </rPh>
    <phoneticPr fontId="18"/>
  </si>
  <si>
    <t>曽我　尚子</t>
    <rPh sb="0" eb="2">
      <t>ソガ</t>
    </rPh>
    <rPh sb="3" eb="5">
      <t>ナオコ</t>
    </rPh>
    <phoneticPr fontId="18"/>
  </si>
  <si>
    <t>新間　豊</t>
    <rPh sb="0" eb="2">
      <t>シンマ</t>
    </rPh>
    <rPh sb="3" eb="4">
      <t>ユタカ</t>
    </rPh>
    <phoneticPr fontId="18"/>
  </si>
  <si>
    <t>高橋　和夫</t>
    <rPh sb="0" eb="2">
      <t>タカハシ</t>
    </rPh>
    <rPh sb="3" eb="5">
      <t>カズオ</t>
    </rPh>
    <phoneticPr fontId="18"/>
  </si>
  <si>
    <t>梅津　香織</t>
    <rPh sb="0" eb="2">
      <t>ウメヅ</t>
    </rPh>
    <rPh sb="3" eb="5">
      <t>カオリ</t>
    </rPh>
    <phoneticPr fontId="18"/>
  </si>
  <si>
    <t>難波　佳那子</t>
    <rPh sb="0" eb="2">
      <t>ナンバ</t>
    </rPh>
    <rPh sb="3" eb="6">
      <t>カナコ</t>
    </rPh>
    <phoneticPr fontId="18"/>
  </si>
  <si>
    <t>青木　博之</t>
    <rPh sb="0" eb="2">
      <t>アオキ</t>
    </rPh>
    <rPh sb="3" eb="5">
      <t>ヒロユキ</t>
    </rPh>
    <phoneticPr fontId="18"/>
  </si>
  <si>
    <t>松本　千絵</t>
    <rPh sb="0" eb="2">
      <t>マツモト</t>
    </rPh>
    <rPh sb="3" eb="5">
      <t>チエ</t>
    </rPh>
    <phoneticPr fontId="18"/>
  </si>
  <si>
    <t>桑田　拓也</t>
    <rPh sb="0" eb="2">
      <t>クワタ</t>
    </rPh>
    <rPh sb="3" eb="4">
      <t>ヒラ</t>
    </rPh>
    <rPh sb="4" eb="5">
      <t>ナリ</t>
    </rPh>
    <phoneticPr fontId="18"/>
  </si>
  <si>
    <t>羽場　康雄</t>
    <rPh sb="0" eb="2">
      <t>ハバ</t>
    </rPh>
    <rPh sb="3" eb="5">
      <t>ヤスオ</t>
    </rPh>
    <phoneticPr fontId="18"/>
  </si>
  <si>
    <t>岡田　仁美</t>
  </si>
  <si>
    <t>岡田　仁美</t>
    <rPh sb="0" eb="2">
      <t>オカダ</t>
    </rPh>
    <rPh sb="3" eb="5">
      <t>ヒトミ</t>
    </rPh>
    <phoneticPr fontId="18"/>
  </si>
  <si>
    <t>矢吹　智代</t>
  </si>
  <si>
    <t>矢吹　智代</t>
    <rPh sb="0" eb="2">
      <t>ヤブキ</t>
    </rPh>
    <rPh sb="3" eb="5">
      <t>トモヨ</t>
    </rPh>
    <phoneticPr fontId="18"/>
  </si>
  <si>
    <t>川井　麻子</t>
    <rPh sb="0" eb="2">
      <t>カワイ</t>
    </rPh>
    <rPh sb="3" eb="5">
      <t>アサコ</t>
    </rPh>
    <phoneticPr fontId="18"/>
  </si>
  <si>
    <t>mmi_0001@me.com</t>
  </si>
  <si>
    <t>shirai-mmi@ezweb.ne.jp</t>
  </si>
  <si>
    <t>hiura@mmin-net.co.jp</t>
  </si>
  <si>
    <t>檜垣 壮</t>
    <rPh sb="0" eb="1">
      <t>ヒノキ</t>
    </rPh>
    <rPh sb="3" eb="4">
      <t>ソウ</t>
    </rPh>
    <phoneticPr fontId="18"/>
  </si>
  <si>
    <t>高橋　寿美</t>
    <phoneticPr fontId="18"/>
  </si>
  <si>
    <t>加藤　純一</t>
    <rPh sb="0" eb="2">
      <t>カトウ</t>
    </rPh>
    <rPh sb="3" eb="5">
      <t>ジュンイチ</t>
    </rPh>
    <phoneticPr fontId="18"/>
  </si>
  <si>
    <t>川崎　哲也</t>
    <rPh sb="0" eb="2">
      <t>カワサキ</t>
    </rPh>
    <rPh sb="3" eb="5">
      <t>テツヤ</t>
    </rPh>
    <phoneticPr fontId="18"/>
  </si>
  <si>
    <t>070-4504-5778</t>
    <phoneticPr fontId="18"/>
  </si>
  <si>
    <t>東郷　一哉</t>
    <rPh sb="0" eb="2">
      <t>トウゴウ</t>
    </rPh>
    <rPh sb="3" eb="4">
      <t>イチ</t>
    </rPh>
    <rPh sb="4" eb="5">
      <t>ヤ</t>
    </rPh>
    <phoneticPr fontId="18"/>
  </si>
  <si>
    <t>二村　眞弓</t>
    <rPh sb="0" eb="2">
      <t>ニムラ</t>
    </rPh>
    <rPh sb="3" eb="5">
      <t>マユミ</t>
    </rPh>
    <phoneticPr fontId="18"/>
  </si>
  <si>
    <t>松山　大輔</t>
    <rPh sb="0" eb="2">
      <t>マツヤマ</t>
    </rPh>
    <rPh sb="3" eb="5">
      <t>ダイスケ</t>
    </rPh>
    <phoneticPr fontId="18"/>
  </si>
  <si>
    <t>小宮　静佳</t>
    <rPh sb="0" eb="2">
      <t>コミヤ</t>
    </rPh>
    <rPh sb="3" eb="5">
      <t>シズカ</t>
    </rPh>
    <phoneticPr fontId="18"/>
  </si>
  <si>
    <t>浅川　喜希</t>
    <rPh sb="0" eb="2">
      <t>アサカワ</t>
    </rPh>
    <rPh sb="3" eb="4">
      <t>ヨロコ</t>
    </rPh>
    <rPh sb="4" eb="5">
      <t>ノゾミ</t>
    </rPh>
    <phoneticPr fontId="18"/>
  </si>
  <si>
    <t>重白　一久</t>
    <rPh sb="0" eb="2">
      <t>シゲシロ</t>
    </rPh>
    <rPh sb="3" eb="4">
      <t>イチ</t>
    </rPh>
    <rPh sb="4" eb="5">
      <t>ヒサ</t>
    </rPh>
    <phoneticPr fontId="18"/>
  </si>
  <si>
    <t>小宮　慶宏</t>
    <rPh sb="0" eb="2">
      <t>コミヤ</t>
    </rPh>
    <rPh sb="3" eb="4">
      <t>ケイ</t>
    </rPh>
    <rPh sb="4" eb="5">
      <t>ヒロシ</t>
    </rPh>
    <phoneticPr fontId="18"/>
  </si>
  <si>
    <t>安藤　美穂</t>
    <rPh sb="0" eb="2">
      <t>アンドウ</t>
    </rPh>
    <rPh sb="3" eb="5">
      <t>ミホ</t>
    </rPh>
    <phoneticPr fontId="18"/>
  </si>
  <si>
    <t>090-1213-2144</t>
    <phoneticPr fontId="18"/>
  </si>
  <si>
    <t>090-2442-2655</t>
    <phoneticPr fontId="18"/>
  </si>
  <si>
    <t>金　恩志</t>
    <rPh sb="0" eb="1">
      <t>キム</t>
    </rPh>
    <rPh sb="2" eb="3">
      <t>オン</t>
    </rPh>
    <rPh sb="3" eb="4">
      <t>ココロザシ</t>
    </rPh>
    <phoneticPr fontId="18"/>
  </si>
  <si>
    <t>朴　秀彬</t>
    <rPh sb="0" eb="1">
      <t>パク</t>
    </rPh>
    <rPh sb="2" eb="3">
      <t>ヒデ</t>
    </rPh>
    <rPh sb="3" eb="4">
      <t>アキラ</t>
    </rPh>
    <phoneticPr fontId="18"/>
  </si>
  <si>
    <t>080-3566-8953</t>
    <phoneticPr fontId="18"/>
  </si>
  <si>
    <t>090-3238-0679</t>
    <phoneticPr fontId="18"/>
  </si>
  <si>
    <t>070-3831-8111</t>
    <phoneticPr fontId="18"/>
  </si>
  <si>
    <t>080-5746-0499</t>
    <phoneticPr fontId="18"/>
  </si>
  <si>
    <t>朝長　比奈子</t>
    <rPh sb="0" eb="2">
      <t>トモナガ</t>
    </rPh>
    <rPh sb="3" eb="6">
      <t>ヒナコ</t>
    </rPh>
    <phoneticPr fontId="18"/>
  </si>
  <si>
    <t>尹　美英</t>
    <phoneticPr fontId="18"/>
  </si>
  <si>
    <t>Ism館長</t>
    <rPh sb="3" eb="5">
      <t>カンチョウ</t>
    </rPh>
    <phoneticPr fontId="18"/>
  </si>
  <si>
    <t>Ism緑ヶ丘</t>
    <rPh sb="3" eb="6">
      <t>ミドリガオカ</t>
    </rPh>
    <phoneticPr fontId="18"/>
  </si>
  <si>
    <t>瀧田　賢吾</t>
    <phoneticPr fontId="18"/>
  </si>
  <si>
    <t>瀧田　賢吾</t>
    <phoneticPr fontId="18"/>
  </si>
  <si>
    <t>047-458-4446
（FAXも同番号）</t>
    <rPh sb="18" eb="19">
      <t>ドウ</t>
    </rPh>
    <rPh sb="19" eb="21">
      <t>バンゴウ</t>
    </rPh>
    <phoneticPr fontId="18"/>
  </si>
  <si>
    <t>haba@mmin-net.co.jp</t>
    <phoneticPr fontId="18"/>
  </si>
  <si>
    <t>静岡県富士宮市宮原２７６－３　１階　B号室</t>
    <phoneticPr fontId="18"/>
  </si>
  <si>
    <t>0544-21-3630</t>
    <phoneticPr fontId="18"/>
  </si>
  <si>
    <t>野口　直樹</t>
    <phoneticPr fontId="18"/>
  </si>
  <si>
    <t>070-3854-6728</t>
    <phoneticPr fontId="18"/>
  </si>
  <si>
    <t>静岡東営業所</t>
    <rPh sb="0" eb="2">
      <t>シズオカ</t>
    </rPh>
    <rPh sb="2" eb="3">
      <t>ヒガシ</t>
    </rPh>
    <rPh sb="3" eb="6">
      <t>エイギョウショ</t>
    </rPh>
    <phoneticPr fontId="18"/>
  </si>
  <si>
    <t>橋本　知明</t>
    <rPh sb="0" eb="2">
      <t>ハシモト</t>
    </rPh>
    <rPh sb="3" eb="5">
      <t>トモアキ</t>
    </rPh>
    <phoneticPr fontId="18"/>
  </si>
  <si>
    <t>メンバー</t>
    <phoneticPr fontId="18"/>
  </si>
  <si>
    <t>金　英珉</t>
    <phoneticPr fontId="18"/>
  </si>
  <si>
    <t>東京都港区白金台1丁目1-50</t>
    <phoneticPr fontId="18"/>
  </si>
  <si>
    <t>静岡営業所</t>
    <rPh sb="0" eb="2">
      <t>シズオカ</t>
    </rPh>
    <rPh sb="2" eb="5">
      <t>エイギョウショ</t>
    </rPh>
    <phoneticPr fontId="18"/>
  </si>
  <si>
    <t>伊藤　恵</t>
    <phoneticPr fontId="18"/>
  </si>
  <si>
    <t>伊藤　恵</t>
    <phoneticPr fontId="18"/>
  </si>
  <si>
    <t>佐々木　恵美</t>
    <phoneticPr fontId="18"/>
  </si>
  <si>
    <t>佐々木　恵美</t>
    <phoneticPr fontId="18"/>
  </si>
  <si>
    <t>工藤　純子</t>
    <phoneticPr fontId="18"/>
  </si>
  <si>
    <t>岸　優里</t>
    <phoneticPr fontId="18"/>
  </si>
  <si>
    <t>岸　優里</t>
    <phoneticPr fontId="18"/>
  </si>
  <si>
    <t>斯波　聡</t>
    <phoneticPr fontId="18"/>
  </si>
  <si>
    <t>宮﨑　正行</t>
    <phoneticPr fontId="18"/>
  </si>
  <si>
    <t>ヴォン ティ リエウ</t>
    <phoneticPr fontId="18"/>
  </si>
  <si>
    <t>070-3872-7701</t>
    <phoneticPr fontId="18"/>
  </si>
  <si>
    <t>その他多数</t>
    <rPh sb="2" eb="3">
      <t>ホカ</t>
    </rPh>
    <rPh sb="3" eb="5">
      <t>タスウ</t>
    </rPh>
    <phoneticPr fontId="18"/>
  </si>
  <si>
    <t>安藤　美穂</t>
    <phoneticPr fontId="18"/>
  </si>
  <si>
    <t>橋本　知明</t>
    <phoneticPr fontId="18"/>
  </si>
  <si>
    <t>ヴォン ティ リエウ</t>
    <phoneticPr fontId="18"/>
  </si>
  <si>
    <t>飯塚　武彦</t>
    <phoneticPr fontId="18"/>
  </si>
  <si>
    <t>飯塚　武彦</t>
    <phoneticPr fontId="18"/>
  </si>
  <si>
    <t>川崎　哲也</t>
    <phoneticPr fontId="18"/>
  </si>
  <si>
    <t>054-204-6670</t>
    <phoneticPr fontId="18"/>
  </si>
  <si>
    <t>鑪　康介</t>
    <rPh sb="0" eb="1">
      <t>タタラ</t>
    </rPh>
    <rPh sb="2" eb="4">
      <t>コウスケ</t>
    </rPh>
    <phoneticPr fontId="18"/>
  </si>
  <si>
    <t>鈴木　貴一</t>
    <rPh sb="0" eb="2">
      <t>スズキ</t>
    </rPh>
    <rPh sb="3" eb="5">
      <t>キイチ</t>
    </rPh>
    <phoneticPr fontId="18"/>
  </si>
  <si>
    <t>070-2165-7714</t>
  </si>
  <si>
    <t>080-4584-2248</t>
  </si>
  <si>
    <t>嶋村　健一</t>
  </si>
  <si>
    <t>檜垣　壮　</t>
  </si>
  <si>
    <t>橋本　知明</t>
  </si>
  <si>
    <t>小宮　慶宏</t>
  </si>
  <si>
    <t>松岡　幸恵</t>
  </si>
  <si>
    <t>曽我　尚子</t>
  </si>
  <si>
    <t>鑪　康介</t>
  </si>
  <si>
    <t>高橋　寿実</t>
  </si>
  <si>
    <t>松山　大輔</t>
  </si>
  <si>
    <t>尹　美英</t>
  </si>
  <si>
    <t>宋　晟赫</t>
  </si>
  <si>
    <t>二村　眞弓</t>
  </si>
  <si>
    <t>金　恩志</t>
  </si>
  <si>
    <t>朴　秀彬</t>
  </si>
  <si>
    <t>浅川　喜希</t>
  </si>
  <si>
    <t>小宮　静佳</t>
  </si>
  <si>
    <t>朝長　比奈子</t>
  </si>
  <si>
    <t>鈴木　貴一</t>
  </si>
  <si>
    <t>石田　恵一</t>
  </si>
  <si>
    <t>作宮　和夫</t>
  </si>
  <si>
    <t>浦澤　佳子</t>
  </si>
  <si>
    <t>重白　一久　</t>
  </si>
  <si>
    <t>社長</t>
  </si>
  <si>
    <t>不動産事業部　ＣＲＥチーム</t>
  </si>
  <si>
    <t>経営管理部 財務経理チーム</t>
  </si>
  <si>
    <t>不動産事業部　社宅管理チーム</t>
  </si>
  <si>
    <t>ホテル事業化ＰＴ</t>
  </si>
  <si>
    <t>経営管理部 企画チーム</t>
  </si>
  <si>
    <t>経営管理部 事業支援チーム</t>
  </si>
  <si>
    <t>川崎　哲也</t>
    <rPh sb="0" eb="2">
      <t>カワサキ</t>
    </rPh>
    <rPh sb="3" eb="5">
      <t>テツヤ</t>
    </rPh>
    <phoneticPr fontId="1"/>
  </si>
  <si>
    <t>事業管理チーム</t>
  </si>
  <si>
    <t>環境管理チーム</t>
  </si>
  <si>
    <t>環境管理サテライトチーム</t>
  </si>
  <si>
    <t>施設管理チーム</t>
  </si>
  <si>
    <t>テクニカルチーム</t>
  </si>
  <si>
    <t>080-3480-2214</t>
  </si>
  <si>
    <t>070-3852-1849</t>
  </si>
  <si>
    <t>090-7491-1385</t>
  </si>
  <si>
    <t>070-4579-7535</t>
  </si>
  <si>
    <t>080-3566-8955</t>
  </si>
  <si>
    <t>090-8490-0670</t>
  </si>
  <si>
    <t>090-3157-1610</t>
  </si>
  <si>
    <t>080-3936-6183</t>
  </si>
  <si>
    <t>070-3872-7701</t>
  </si>
  <si>
    <t>080-2262-8602</t>
  </si>
  <si>
    <t>070-3868-5523</t>
  </si>
  <si>
    <t>080-4088-3668</t>
  </si>
  <si>
    <t>090-9811-6923</t>
  </si>
  <si>
    <t>080-5867-5110</t>
  </si>
  <si>
    <t>080-6575-4118</t>
  </si>
  <si>
    <t>080-4917-0064</t>
  </si>
  <si>
    <t>080-2333-4494</t>
  </si>
  <si>
    <t>090-1047-0938</t>
  </si>
  <si>
    <t>090-9025-2358</t>
  </si>
  <si>
    <t>090-2402-7362</t>
  </si>
  <si>
    <t>070-4201-6852</t>
  </si>
  <si>
    <t>090-6950-1788</t>
  </si>
  <si>
    <t>090-2181-3938</t>
  </si>
  <si>
    <t>070-3854-6729</t>
  </si>
  <si>
    <t>090-7692-9744</t>
  </si>
  <si>
    <t>080-3606-3448</t>
  </si>
  <si>
    <t>080-1840-0945</t>
  </si>
  <si>
    <t>070-3854-6728</t>
  </si>
  <si>
    <t>090-6761-3293</t>
  </si>
  <si>
    <t>070-3854-6730</t>
  </si>
  <si>
    <t>080-3633-2853</t>
  </si>
  <si>
    <t>070-3864-2675</t>
  </si>
  <si>
    <t>090-3567-6127</t>
  </si>
  <si>
    <t>080-3566-8958</t>
  </si>
  <si>
    <t>090-1462-7645</t>
  </si>
  <si>
    <t>080-3446-7228</t>
  </si>
  <si>
    <t>090-9396-1397</t>
  </si>
  <si>
    <t>080-3566-8957</t>
  </si>
  <si>
    <t>090-8034-4160</t>
  </si>
  <si>
    <t>080-4106-8296</t>
  </si>
  <si>
    <t>070-3601-5755</t>
  </si>
  <si>
    <t>070-3609-3812</t>
  </si>
  <si>
    <t>090-4716-9267</t>
  </si>
  <si>
    <t>070-3533-7393</t>
  </si>
  <si>
    <t>090-3241-8619</t>
  </si>
  <si>
    <t>090-6723-5666</t>
  </si>
  <si>
    <t>090-1117-5188</t>
  </si>
  <si>
    <t>080-3451-6474</t>
  </si>
  <si>
    <t>090-2205-3664</t>
  </si>
  <si>
    <t>080-3566-8974</t>
  </si>
  <si>
    <t>090-9005-4611</t>
  </si>
  <si>
    <t>080-4373-7793</t>
  </si>
  <si>
    <t>080-4669-1341</t>
  </si>
  <si>
    <t>090-1432-3050</t>
  </si>
  <si>
    <t>070-3629-7215</t>
  </si>
  <si>
    <t>080-4832-7601</t>
  </si>
  <si>
    <t>070-3661-7937</t>
  </si>
  <si>
    <t>080-1268-4426</t>
  </si>
  <si>
    <t>070-3843-4639</t>
  </si>
  <si>
    <t>080-6803-9683</t>
  </si>
  <si>
    <t>070-4579-7534</t>
  </si>
  <si>
    <t>080-3754-3568</t>
  </si>
  <si>
    <t>090-5054-0352</t>
  </si>
  <si>
    <t>070-3541-0264</t>
  </si>
  <si>
    <t>070-3831-8111</t>
  </si>
  <si>
    <t>090-2442-2655</t>
  </si>
  <si>
    <t>080-5746-0499</t>
  </si>
  <si>
    <t>080-4862-3745</t>
  </si>
  <si>
    <t>090-1459-9806</t>
  </si>
  <si>
    <t>090-3104-3067</t>
  </si>
  <si>
    <t>080-3384-9464</t>
  </si>
  <si>
    <t>080-3566-8956</t>
  </si>
  <si>
    <t>090-8931-8065</t>
  </si>
  <si>
    <t>080-9640-2656</t>
  </si>
  <si>
    <t>070-3547-4367</t>
  </si>
  <si>
    <t>080-4413-2920</t>
  </si>
  <si>
    <t>070-3852-1867</t>
  </si>
  <si>
    <t>090-2251-7002</t>
  </si>
  <si>
    <t>070-3836-5522</t>
  </si>
  <si>
    <t>080-6508-8311</t>
  </si>
  <si>
    <t>070-3862-8149</t>
  </si>
  <si>
    <t>080-3566-8953</t>
  </si>
  <si>
    <t>090-4241-0567</t>
  </si>
  <si>
    <t>090-4855-2641</t>
  </si>
  <si>
    <t>080-9819-8256</t>
  </si>
  <si>
    <t>080-5190-8426</t>
  </si>
  <si>
    <t>080-4083-8534</t>
  </si>
  <si>
    <t>080-2053-5731</t>
  </si>
  <si>
    <t>090-9847-0418</t>
    <phoneticPr fontId="18"/>
  </si>
  <si>
    <t>派遣</t>
    <rPh sb="0" eb="2">
      <t>ハケン</t>
    </rPh>
    <phoneticPr fontId="18"/>
  </si>
  <si>
    <t>時給</t>
    <rPh sb="0" eb="2">
      <t>ジキュウ</t>
    </rPh>
    <phoneticPr fontId="18"/>
  </si>
  <si>
    <t>雇用形態</t>
    <rPh sb="0" eb="2">
      <t>コヨウ</t>
    </rPh>
    <rPh sb="2" eb="4">
      <t>ケイタイ</t>
    </rPh>
    <phoneticPr fontId="18"/>
  </si>
  <si>
    <t>契約</t>
    <rPh sb="0" eb="2">
      <t>ケイヤク</t>
    </rPh>
    <phoneticPr fontId="18"/>
  </si>
  <si>
    <t>出向</t>
    <rPh sb="0" eb="2">
      <t>シュッコウ</t>
    </rPh>
    <phoneticPr fontId="18"/>
  </si>
  <si>
    <t>ヴォン ティ リエウ</t>
  </si>
  <si>
    <t>千葉県八千代市緑ヶ丘西2-13-3</t>
    <rPh sb="7" eb="10">
      <t>ミドリガオカ</t>
    </rPh>
    <rPh sb="10" eb="11">
      <t>ニシ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</si>
</sst>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5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rgb="FF333333"/>
      <name val="メイリオ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name val="ＭＳ ゴシック"/>
      <family val="3"/>
      <charset val="128"/>
    </font>
    <font>
      <b/>
      <sz val="8"/>
      <color rgb="FFFF0000"/>
      <name val="ＭＳ Ｐゴシック"/>
      <family val="3"/>
      <charset val="128"/>
      <scheme val="minor"/>
    </font>
    <font>
      <b/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8"/>
      <color theme="1"/>
      <name val="ＭＳ Ｐゴシック"/>
      <family val="2"/>
      <scheme val="minor"/>
    </font>
    <font>
      <b/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8"/>
      <name val="ＭＳ Ｐゴシック"/>
      <family val="3"/>
      <charset val="128"/>
    </font>
    <font>
      <sz val="8"/>
      <color theme="1"/>
      <name val="ＭSゴシック"/>
      <family val="3"/>
      <charset val="128"/>
    </font>
    <font>
      <sz val="8"/>
      <color theme="1"/>
      <name val="ＭＳゴシック"/>
      <family val="3"/>
      <charset val="128"/>
    </font>
    <font>
      <sz val="8"/>
      <color rgb="FF333333"/>
      <name val="ＭＳ Ｐゴシック"/>
      <family val="3"/>
      <charset val="128"/>
      <scheme val="minor"/>
    </font>
    <font>
      <u/>
      <sz val="9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rgb="FF333333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</cellStyleXfs>
  <cellXfs count="2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21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29" fillId="0" borderId="0" xfId="0" applyFont="1">
      <alignment vertical="center"/>
    </xf>
    <xf numFmtId="0" fontId="30" fillId="0" borderId="0" xfId="0" applyFont="1" applyBorder="1" applyAlignment="1" applyProtection="1">
      <alignment vertical="center"/>
      <protection locked="0"/>
    </xf>
    <xf numFmtId="0" fontId="31" fillId="0" borderId="0" xfId="0" applyFont="1" applyBorder="1" applyAlignment="1" applyProtection="1">
      <alignment vertical="center"/>
      <protection locked="0"/>
    </xf>
    <xf numFmtId="0" fontId="29" fillId="0" borderId="0" xfId="0" applyFont="1" applyAlignment="1">
      <alignment vertical="center" shrinkToFit="1"/>
    </xf>
    <xf numFmtId="0" fontId="29" fillId="0" borderId="0" xfId="0" applyFont="1" applyBorder="1">
      <alignment vertical="center"/>
    </xf>
    <xf numFmtId="0" fontId="29" fillId="0" borderId="0" xfId="0" applyFont="1" applyAlignment="1" applyProtection="1">
      <alignment vertical="center"/>
      <protection locked="0"/>
    </xf>
    <xf numFmtId="0" fontId="32" fillId="33" borderId="10" xfId="0" applyFont="1" applyFill="1" applyBorder="1" applyAlignment="1" applyProtection="1">
      <alignment horizontal="center" vertical="center"/>
      <protection locked="0"/>
    </xf>
    <xf numFmtId="49" fontId="32" fillId="33" borderId="10" xfId="0" applyNumberFormat="1" applyFont="1" applyFill="1" applyBorder="1" applyAlignment="1" applyProtection="1">
      <alignment horizontal="center" vertical="center"/>
      <protection locked="0"/>
    </xf>
    <xf numFmtId="0" fontId="35" fillId="33" borderId="10" xfId="0" applyFont="1" applyFill="1" applyBorder="1" applyAlignment="1" applyProtection="1">
      <alignment horizontal="center" vertical="center"/>
      <protection locked="0"/>
    </xf>
    <xf numFmtId="0" fontId="36" fillId="33" borderId="10" xfId="0" applyFont="1" applyFill="1" applyBorder="1" applyAlignment="1" applyProtection="1">
      <alignment horizontal="center" vertical="center"/>
      <protection locked="0"/>
    </xf>
    <xf numFmtId="0" fontId="36" fillId="33" borderId="10" xfId="0" applyFont="1" applyFill="1" applyBorder="1" applyAlignment="1" applyProtection="1">
      <alignment horizontal="center" vertical="center" shrinkToFit="1"/>
      <protection locked="0"/>
    </xf>
    <xf numFmtId="0" fontId="30" fillId="34" borderId="10" xfId="0" applyFont="1" applyFill="1" applyBorder="1" applyAlignment="1" applyProtection="1">
      <alignment vertical="center"/>
      <protection locked="0"/>
    </xf>
    <xf numFmtId="49" fontId="30" fillId="35" borderId="10" xfId="0" applyNumberFormat="1" applyFont="1" applyFill="1" applyBorder="1" applyAlignment="1" applyProtection="1">
      <alignment vertical="center"/>
      <protection locked="0"/>
    </xf>
    <xf numFmtId="49" fontId="30" fillId="35" borderId="10" xfId="0" applyNumberFormat="1" applyFont="1" applyFill="1" applyBorder="1" applyAlignment="1" applyProtection="1">
      <alignment horizontal="left" vertical="center"/>
      <protection locked="0"/>
    </xf>
    <xf numFmtId="0" fontId="30" fillId="0" borderId="10" xfId="0" applyNumberFormat="1" applyFont="1" applyFill="1" applyBorder="1" applyAlignment="1" applyProtection="1">
      <alignment vertical="center"/>
      <protection locked="0"/>
    </xf>
    <xf numFmtId="0" fontId="30" fillId="0" borderId="10" xfId="0" applyNumberFormat="1" applyFont="1" applyFill="1" applyBorder="1" applyAlignment="1" applyProtection="1">
      <alignment vertical="center" wrapText="1"/>
      <protection locked="0"/>
    </xf>
    <xf numFmtId="0" fontId="29" fillId="0" borderId="10" xfId="0" applyNumberFormat="1" applyFont="1" applyFill="1" applyBorder="1" applyAlignment="1" applyProtection="1">
      <alignment vertical="center"/>
      <protection locked="0"/>
    </xf>
    <xf numFmtId="0" fontId="37" fillId="0" borderId="10" xfId="0" applyFont="1" applyBorder="1">
      <alignment vertical="center"/>
    </xf>
    <xf numFmtId="0" fontId="29" fillId="0" borderId="10" xfId="0" applyFont="1" applyBorder="1">
      <alignment vertical="center"/>
    </xf>
    <xf numFmtId="0" fontId="37" fillId="0" borderId="10" xfId="0" applyFont="1" applyBorder="1" applyAlignment="1">
      <alignment vertical="center" shrinkToFit="1"/>
    </xf>
    <xf numFmtId="49" fontId="30" fillId="0" borderId="10" xfId="0" applyNumberFormat="1" applyFont="1" applyFill="1" applyBorder="1" applyAlignment="1" applyProtection="1">
      <alignment vertical="center"/>
      <protection locked="0"/>
    </xf>
    <xf numFmtId="49" fontId="30" fillId="0" borderId="10" xfId="0" applyNumberFormat="1" applyFont="1" applyFill="1" applyBorder="1" applyAlignment="1" applyProtection="1">
      <alignment horizontal="left" vertical="center"/>
      <protection locked="0"/>
    </xf>
    <xf numFmtId="0" fontId="29" fillId="0" borderId="10" xfId="0" applyFont="1" applyFill="1" applyBorder="1">
      <alignment vertical="center"/>
    </xf>
    <xf numFmtId="0" fontId="37" fillId="0" borderId="10" xfId="0" applyFont="1" applyFill="1" applyBorder="1" applyAlignment="1">
      <alignment vertical="center" shrinkToFit="1"/>
    </xf>
    <xf numFmtId="0" fontId="29" fillId="0" borderId="0" xfId="0" applyFont="1" applyFill="1">
      <alignment vertical="center"/>
    </xf>
    <xf numFmtId="0" fontId="30" fillId="36" borderId="10" xfId="0" applyFont="1" applyFill="1" applyBorder="1" applyAlignment="1" applyProtection="1">
      <alignment vertical="center"/>
      <protection locked="0"/>
    </xf>
    <xf numFmtId="49" fontId="30" fillId="36" borderId="10" xfId="0" applyNumberFormat="1" applyFont="1" applyFill="1" applyBorder="1" applyAlignment="1" applyProtection="1">
      <alignment vertical="center"/>
      <protection locked="0"/>
    </xf>
    <xf numFmtId="49" fontId="30" fillId="36" borderId="10" xfId="0" applyNumberFormat="1" applyFont="1" applyFill="1" applyBorder="1" applyAlignment="1" applyProtection="1">
      <alignment horizontal="left" vertical="center"/>
      <protection locked="0"/>
    </xf>
    <xf numFmtId="0" fontId="37" fillId="36" borderId="10" xfId="0" applyFont="1" applyFill="1" applyBorder="1">
      <alignment vertical="center"/>
    </xf>
    <xf numFmtId="0" fontId="30" fillId="36" borderId="10" xfId="0" applyNumberFormat="1" applyFont="1" applyFill="1" applyBorder="1" applyAlignment="1" applyProtection="1">
      <alignment vertical="center" wrapText="1"/>
      <protection locked="0"/>
    </xf>
    <xf numFmtId="0" fontId="29" fillId="36" borderId="10" xfId="0" applyNumberFormat="1" applyFont="1" applyFill="1" applyBorder="1" applyAlignment="1" applyProtection="1">
      <alignment vertical="center"/>
      <protection locked="0"/>
    </xf>
    <xf numFmtId="0" fontId="29" fillId="36" borderId="10" xfId="0" applyFont="1" applyFill="1" applyBorder="1">
      <alignment vertical="center"/>
    </xf>
    <xf numFmtId="0" fontId="37" fillId="36" borderId="10" xfId="0" applyFont="1" applyFill="1" applyBorder="1" applyAlignment="1">
      <alignment vertical="center" shrinkToFit="1"/>
    </xf>
    <xf numFmtId="0" fontId="29" fillId="36" borderId="0" xfId="0" applyFont="1" applyFill="1">
      <alignment vertical="center"/>
    </xf>
    <xf numFmtId="0" fontId="30" fillId="37" borderId="10" xfId="0" applyFont="1" applyFill="1" applyBorder="1" applyAlignment="1" applyProtection="1">
      <alignment vertical="center"/>
      <protection locked="0"/>
    </xf>
    <xf numFmtId="49" fontId="30" fillId="37" borderId="10" xfId="0" applyNumberFormat="1" applyFont="1" applyFill="1" applyBorder="1" applyAlignment="1" applyProtection="1">
      <alignment vertical="center"/>
      <protection locked="0"/>
    </xf>
    <xf numFmtId="49" fontId="30" fillId="37" borderId="10" xfId="0" applyNumberFormat="1" applyFont="1" applyFill="1" applyBorder="1" applyAlignment="1" applyProtection="1">
      <alignment horizontal="left" vertical="center"/>
      <protection locked="0"/>
    </xf>
    <xf numFmtId="0" fontId="29" fillId="37" borderId="10" xfId="0" applyFont="1" applyFill="1" applyBorder="1">
      <alignment vertical="center"/>
    </xf>
    <xf numFmtId="0" fontId="39" fillId="37" borderId="10" xfId="0" applyFont="1" applyFill="1" applyBorder="1" applyAlignment="1" applyProtection="1">
      <alignment vertical="center"/>
      <protection locked="0"/>
    </xf>
    <xf numFmtId="0" fontId="29" fillId="37" borderId="10" xfId="0" applyFont="1" applyFill="1" applyBorder="1" applyAlignment="1" applyProtection="1">
      <alignment vertical="center"/>
      <protection locked="0"/>
    </xf>
    <xf numFmtId="0" fontId="37" fillId="37" borderId="10" xfId="0" applyFont="1" applyFill="1" applyBorder="1">
      <alignment vertical="center"/>
    </xf>
    <xf numFmtId="0" fontId="37" fillId="37" borderId="10" xfId="0" applyFont="1" applyFill="1" applyBorder="1" applyAlignment="1">
      <alignment vertical="center" shrinkToFit="1"/>
    </xf>
    <xf numFmtId="0" fontId="29" fillId="37" borderId="0" xfId="0" applyFont="1" applyFill="1">
      <alignment vertical="center"/>
    </xf>
    <xf numFmtId="0" fontId="39" fillId="0" borderId="10" xfId="0" applyFont="1" applyBorder="1" applyAlignment="1" applyProtection="1">
      <alignment vertical="center"/>
      <protection locked="0"/>
    </xf>
    <xf numFmtId="0" fontId="29" fillId="0" borderId="10" xfId="0" applyFont="1" applyBorder="1" applyAlignment="1" applyProtection="1">
      <alignment vertical="center"/>
      <protection locked="0"/>
    </xf>
    <xf numFmtId="0" fontId="40" fillId="0" borderId="10" xfId="0" applyFont="1" applyBorder="1">
      <alignment vertical="center"/>
    </xf>
    <xf numFmtId="14" fontId="29" fillId="0" borderId="10" xfId="0" applyNumberFormat="1" applyFont="1" applyBorder="1" applyAlignment="1" applyProtection="1">
      <alignment vertical="center"/>
      <protection locked="0"/>
    </xf>
    <xf numFmtId="0" fontId="41" fillId="0" borderId="10" xfId="0" applyFont="1" applyBorder="1">
      <alignment vertical="center"/>
    </xf>
    <xf numFmtId="14" fontId="29" fillId="0" borderId="10" xfId="0" applyNumberFormat="1" applyFont="1" applyFill="1" applyBorder="1" applyAlignment="1" applyProtection="1">
      <alignment vertical="center"/>
      <protection locked="0"/>
    </xf>
    <xf numFmtId="0" fontId="37" fillId="0" borderId="10" xfId="0" applyFont="1" applyFill="1" applyBorder="1">
      <alignment vertical="center"/>
    </xf>
    <xf numFmtId="0" fontId="30" fillId="0" borderId="10" xfId="0" applyNumberFormat="1" applyFont="1" applyFill="1" applyBorder="1" applyAlignment="1" applyProtection="1">
      <alignment vertical="center" shrinkToFit="1"/>
      <protection locked="0"/>
    </xf>
    <xf numFmtId="49" fontId="30" fillId="0" borderId="10" xfId="0" applyNumberFormat="1" applyFont="1" applyFill="1" applyBorder="1" applyAlignment="1" applyProtection="1">
      <alignment vertical="center" shrinkToFit="1"/>
      <protection locked="0"/>
    </xf>
    <xf numFmtId="0" fontId="42" fillId="0" borderId="0" xfId="0" applyFont="1">
      <alignment vertical="center"/>
    </xf>
    <xf numFmtId="0" fontId="42" fillId="0" borderId="10" xfId="0" applyFont="1" applyBorder="1">
      <alignment vertical="center"/>
    </xf>
    <xf numFmtId="0" fontId="30" fillId="34" borderId="18" xfId="0" applyFont="1" applyFill="1" applyBorder="1" applyAlignment="1" applyProtection="1">
      <alignment vertical="center"/>
      <protection locked="0"/>
    </xf>
    <xf numFmtId="49" fontId="30" fillId="35" borderId="18" xfId="0" applyNumberFormat="1" applyFont="1" applyFill="1" applyBorder="1" applyAlignment="1" applyProtection="1">
      <alignment vertical="center"/>
      <protection locked="0"/>
    </xf>
    <xf numFmtId="49" fontId="30" fillId="0" borderId="18" xfId="0" applyNumberFormat="1" applyFont="1" applyFill="1" applyBorder="1" applyAlignment="1" applyProtection="1">
      <alignment horizontal="left" vertical="center"/>
      <protection locked="0"/>
    </xf>
    <xf numFmtId="0" fontId="42" fillId="0" borderId="18" xfId="0" applyFont="1" applyBorder="1">
      <alignment vertical="center"/>
    </xf>
    <xf numFmtId="0" fontId="37" fillId="0" borderId="18" xfId="0" applyFont="1" applyFill="1" applyBorder="1">
      <alignment vertical="center"/>
    </xf>
    <xf numFmtId="0" fontId="30" fillId="0" borderId="18" xfId="0" applyNumberFormat="1" applyFont="1" applyFill="1" applyBorder="1" applyAlignment="1" applyProtection="1">
      <alignment vertical="center" wrapText="1"/>
      <protection locked="0"/>
    </xf>
    <xf numFmtId="0" fontId="29" fillId="0" borderId="18" xfId="0" applyNumberFormat="1" applyFont="1" applyFill="1" applyBorder="1" applyAlignment="1" applyProtection="1">
      <alignment vertical="center"/>
      <protection locked="0"/>
    </xf>
    <xf numFmtId="0" fontId="37" fillId="0" borderId="18" xfId="0" applyFont="1" applyFill="1" applyBorder="1" applyAlignment="1">
      <alignment vertical="center" shrinkToFit="1"/>
    </xf>
    <xf numFmtId="0" fontId="30" fillId="34" borderId="15" xfId="0" applyFont="1" applyFill="1" applyBorder="1" applyAlignment="1" applyProtection="1">
      <alignment vertical="center"/>
      <protection locked="0"/>
    </xf>
    <xf numFmtId="0" fontId="30" fillId="38" borderId="15" xfId="0" applyFont="1" applyFill="1" applyBorder="1" applyAlignment="1" applyProtection="1">
      <alignment vertical="center"/>
      <protection locked="0"/>
    </xf>
    <xf numFmtId="49" fontId="30" fillId="35" borderId="15" xfId="0" applyNumberFormat="1" applyFont="1" applyFill="1" applyBorder="1" applyAlignment="1" applyProtection="1">
      <alignment vertical="center"/>
      <protection locked="0"/>
    </xf>
    <xf numFmtId="49" fontId="30" fillId="0" borderId="15" xfId="0" applyNumberFormat="1" applyFont="1" applyFill="1" applyBorder="1" applyAlignment="1" applyProtection="1">
      <alignment horizontal="left" vertical="center"/>
      <protection locked="0"/>
    </xf>
    <xf numFmtId="49" fontId="30" fillId="0" borderId="15" xfId="0" applyNumberFormat="1" applyFont="1" applyFill="1" applyBorder="1" applyAlignment="1" applyProtection="1">
      <alignment horizontal="left" vertical="center" shrinkToFit="1"/>
      <protection locked="0"/>
    </xf>
    <xf numFmtId="0" fontId="30" fillId="0" borderId="15" xfId="0" applyNumberFormat="1" applyFont="1" applyFill="1" applyBorder="1" applyAlignment="1" applyProtection="1">
      <alignment vertical="center" wrapText="1"/>
      <protection locked="0"/>
    </xf>
    <xf numFmtId="0" fontId="29" fillId="0" borderId="15" xfId="0" applyNumberFormat="1" applyFont="1" applyFill="1" applyBorder="1" applyAlignment="1" applyProtection="1">
      <alignment vertical="center"/>
      <protection locked="0"/>
    </xf>
    <xf numFmtId="0" fontId="37" fillId="0" borderId="15" xfId="0" applyFont="1" applyBorder="1" applyAlignment="1">
      <alignment vertical="center" shrinkToFit="1"/>
    </xf>
    <xf numFmtId="0" fontId="29" fillId="0" borderId="15" xfId="0" applyFont="1" applyBorder="1">
      <alignment vertical="center"/>
    </xf>
    <xf numFmtId="0" fontId="30" fillId="38" borderId="10" xfId="0" applyFont="1" applyFill="1" applyBorder="1" applyAlignment="1" applyProtection="1">
      <alignment vertical="center"/>
      <protection locked="0"/>
    </xf>
    <xf numFmtId="49" fontId="30" fillId="35" borderId="10" xfId="0" applyNumberFormat="1" applyFont="1" applyFill="1" applyBorder="1" applyAlignment="1" applyProtection="1">
      <alignment vertical="center" shrinkToFit="1"/>
      <protection locked="0"/>
    </xf>
    <xf numFmtId="49" fontId="30" fillId="0" borderId="10" xfId="0" applyNumberFormat="1" applyFont="1" applyFill="1" applyBorder="1" applyAlignment="1" applyProtection="1">
      <alignment horizontal="left" vertical="center" shrinkToFit="1"/>
      <protection locked="0"/>
    </xf>
    <xf numFmtId="0" fontId="44" fillId="0" borderId="10" xfId="0" applyFont="1" applyBorder="1" applyAlignment="1">
      <alignment vertical="center" shrinkToFit="1"/>
    </xf>
    <xf numFmtId="0" fontId="29" fillId="0" borderId="10" xfId="0" applyFont="1" applyFill="1" applyBorder="1" applyAlignment="1">
      <alignment vertical="center" shrinkToFit="1"/>
    </xf>
    <xf numFmtId="0" fontId="30" fillId="0" borderId="10" xfId="0" applyFont="1" applyFill="1" applyBorder="1" applyAlignment="1" applyProtection="1">
      <alignment vertical="center"/>
      <protection locked="0"/>
    </xf>
    <xf numFmtId="49" fontId="30" fillId="36" borderId="10" xfId="0" applyNumberFormat="1" applyFont="1" applyFill="1" applyBorder="1" applyAlignment="1" applyProtection="1">
      <alignment vertical="center" shrinkToFit="1"/>
      <protection locked="0"/>
    </xf>
    <xf numFmtId="0" fontId="30" fillId="36" borderId="10" xfId="0" applyNumberFormat="1" applyFont="1" applyFill="1" applyBorder="1" applyAlignment="1" applyProtection="1">
      <alignment vertical="center" shrinkToFit="1"/>
      <protection locked="0"/>
    </xf>
    <xf numFmtId="6" fontId="30" fillId="36" borderId="10" xfId="42" applyFont="1" applyFill="1" applyBorder="1" applyAlignment="1" applyProtection="1">
      <alignment vertical="center" shrinkToFit="1"/>
      <protection locked="0"/>
    </xf>
    <xf numFmtId="0" fontId="0" fillId="39" borderId="12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39" borderId="16" xfId="0" applyFill="1" applyBorder="1" applyAlignment="1">
      <alignment horizontal="center" vertical="center"/>
    </xf>
    <xf numFmtId="0" fontId="0" fillId="39" borderId="11" xfId="0" applyFill="1" applyBorder="1" applyAlignment="1">
      <alignment horizontal="center" vertical="center"/>
    </xf>
    <xf numFmtId="0" fontId="0" fillId="39" borderId="15" xfId="0" applyFill="1" applyBorder="1" applyAlignment="1">
      <alignment horizontal="center" vertical="center"/>
    </xf>
    <xf numFmtId="0" fontId="0" fillId="39" borderId="0" xfId="0" applyFill="1" applyBorder="1" applyAlignment="1">
      <alignment horizontal="center" vertical="center"/>
    </xf>
    <xf numFmtId="0" fontId="0" fillId="39" borderId="14" xfId="0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12" xfId="0" applyFill="1" applyBorder="1" applyAlignment="1">
      <alignment horizontal="center" vertical="center"/>
    </xf>
    <xf numFmtId="0" fontId="0" fillId="40" borderId="11" xfId="0" applyFill="1" applyBorder="1" applyAlignment="1">
      <alignment horizontal="center" vertical="center"/>
    </xf>
    <xf numFmtId="0" fontId="0" fillId="40" borderId="14" xfId="0" applyFill="1" applyBorder="1" applyAlignment="1">
      <alignment horizontal="center" vertical="center"/>
    </xf>
    <xf numFmtId="0" fontId="0" fillId="40" borderId="15" xfId="0" applyFill="1" applyBorder="1" applyAlignment="1">
      <alignment horizontal="center" vertical="center"/>
    </xf>
    <xf numFmtId="0" fontId="0" fillId="40" borderId="0" xfId="0" applyFill="1" applyBorder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0" borderId="13" xfId="0" applyFill="1" applyBorder="1" applyAlignment="1">
      <alignment horizontal="center" vertical="center"/>
    </xf>
    <xf numFmtId="0" fontId="0" fillId="41" borderId="12" xfId="0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0" fillId="41" borderId="16" xfId="0" applyFill="1" applyBorder="1" applyAlignment="1">
      <alignment horizontal="center" vertical="center"/>
    </xf>
    <xf numFmtId="0" fontId="0" fillId="41" borderId="11" xfId="0" applyFill="1" applyBorder="1" applyAlignment="1">
      <alignment horizontal="center" vertical="center"/>
    </xf>
    <xf numFmtId="0" fontId="0" fillId="41" borderId="14" xfId="0" applyFill="1" applyBorder="1" applyAlignment="1">
      <alignment horizontal="center" vertical="center"/>
    </xf>
    <xf numFmtId="0" fontId="0" fillId="41" borderId="15" xfId="0" applyFill="1" applyBorder="1" applyAlignment="1">
      <alignment horizontal="center" vertical="center"/>
    </xf>
    <xf numFmtId="0" fontId="0" fillId="41" borderId="0" xfId="0" applyFill="1" applyBorder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1" borderId="13" xfId="0" applyFill="1" applyBorder="1" applyAlignment="1">
      <alignment horizontal="center" vertical="center"/>
    </xf>
    <xf numFmtId="49" fontId="38" fillId="41" borderId="10" xfId="0" applyNumberFormat="1" applyFont="1" applyFill="1" applyBorder="1" applyAlignment="1" applyProtection="1">
      <alignment horizontal="center" vertical="center"/>
      <protection locked="0"/>
    </xf>
    <xf numFmtId="0" fontId="0" fillId="42" borderId="12" xfId="0" applyFill="1" applyBorder="1" applyAlignment="1">
      <alignment horizontal="center" vertical="center"/>
    </xf>
    <xf numFmtId="0" fontId="0" fillId="42" borderId="10" xfId="0" applyFill="1" applyBorder="1" applyAlignment="1">
      <alignment horizontal="center" vertical="center"/>
    </xf>
    <xf numFmtId="0" fontId="0" fillId="42" borderId="16" xfId="0" applyFill="1" applyBorder="1" applyAlignment="1">
      <alignment horizontal="center" vertical="center"/>
    </xf>
    <xf numFmtId="0" fontId="0" fillId="42" borderId="11" xfId="0" applyFill="1" applyBorder="1" applyAlignment="1">
      <alignment horizontal="center" vertical="center"/>
    </xf>
    <xf numFmtId="0" fontId="0" fillId="42" borderId="14" xfId="0" applyFill="1" applyBorder="1" applyAlignment="1">
      <alignment horizontal="center" vertical="center"/>
    </xf>
    <xf numFmtId="0" fontId="0" fillId="42" borderId="15" xfId="0" applyFill="1" applyBorder="1" applyAlignment="1">
      <alignment horizontal="center" vertical="center"/>
    </xf>
    <xf numFmtId="0" fontId="0" fillId="42" borderId="0" xfId="0" applyFill="1" applyBorder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2" borderId="1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43" borderId="11" xfId="0" applyFill="1" applyBorder="1" applyAlignment="1">
      <alignment horizontal="center" vertical="center"/>
    </xf>
    <xf numFmtId="0" fontId="0" fillId="43" borderId="10" xfId="0" applyFill="1" applyBorder="1" applyAlignment="1">
      <alignment horizontal="center" vertical="center"/>
    </xf>
    <xf numFmtId="0" fontId="0" fillId="43" borderId="16" xfId="0" applyFill="1" applyBorder="1" applyAlignment="1">
      <alignment horizontal="center" vertical="center"/>
    </xf>
    <xf numFmtId="0" fontId="0" fillId="43" borderId="12" xfId="0" applyFill="1" applyBorder="1" applyAlignment="1">
      <alignment horizontal="center" vertical="center"/>
    </xf>
    <xf numFmtId="0" fontId="0" fillId="43" borderId="0" xfId="0" applyFill="1" applyBorder="1" applyAlignment="1">
      <alignment horizontal="center" vertical="center"/>
    </xf>
    <xf numFmtId="0" fontId="0" fillId="43" borderId="15" xfId="0" applyFill="1" applyBorder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19" fillId="40" borderId="0" xfId="0" applyFont="1" applyFill="1" applyAlignment="1">
      <alignment horizontal="left" vertical="center"/>
    </xf>
    <xf numFmtId="0" fontId="20" fillId="40" borderId="14" xfId="0" applyFont="1" applyFill="1" applyBorder="1" applyAlignment="1">
      <alignment horizontal="center" vertical="center"/>
    </xf>
    <xf numFmtId="0" fontId="0" fillId="40" borderId="17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0" fillId="41" borderId="19" xfId="0" applyFill="1" applyBorder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0" fillId="0" borderId="20" xfId="0" applyFill="1" applyBorder="1" applyAlignment="1">
      <alignment horizontal="center" vertical="center"/>
    </xf>
    <xf numFmtId="0" fontId="0" fillId="42" borderId="21" xfId="0" applyFill="1" applyBorder="1" applyAlignment="1">
      <alignment horizontal="center" vertical="center"/>
    </xf>
    <xf numFmtId="0" fontId="0" fillId="43" borderId="14" xfId="0" applyFill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0" fillId="41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0" fillId="42" borderId="10" xfId="0" applyFill="1" applyBorder="1" applyAlignment="1">
      <alignment horizontal="center" vertical="center"/>
    </xf>
    <xf numFmtId="0" fontId="0" fillId="44" borderId="15" xfId="0" applyFill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49" fontId="38" fillId="43" borderId="10" xfId="0" applyNumberFormat="1" applyFont="1" applyFill="1" applyBorder="1" applyAlignment="1" applyProtection="1">
      <alignment horizontal="center" vertical="center"/>
      <protection locked="0"/>
    </xf>
    <xf numFmtId="0" fontId="0" fillId="43" borderId="11" xfId="0" applyFont="1" applyFill="1" applyBorder="1" applyAlignment="1">
      <alignment horizontal="center" vertical="center"/>
    </xf>
    <xf numFmtId="0" fontId="0" fillId="43" borderId="12" xfId="0" applyFont="1" applyFill="1" applyBorder="1" applyAlignment="1">
      <alignment horizontal="center" vertical="center"/>
    </xf>
    <xf numFmtId="49" fontId="38" fillId="43" borderId="10" xfId="0" applyNumberFormat="1" applyFont="1" applyFill="1" applyBorder="1" applyAlignment="1" applyProtection="1">
      <alignment horizontal="left" vertical="center"/>
      <protection locked="0"/>
    </xf>
    <xf numFmtId="0" fontId="0" fillId="43" borderId="0" xfId="0" applyFont="1" applyFill="1" applyAlignment="1">
      <alignment horizontal="center" vertical="center"/>
    </xf>
    <xf numFmtId="0" fontId="0" fillId="43" borderId="13" xfId="0" applyFill="1" applyBorder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4" borderId="0" xfId="0" applyFill="1" applyBorder="1" applyAlignment="1">
      <alignment horizontal="center" vertical="center"/>
    </xf>
    <xf numFmtId="0" fontId="0" fillId="44" borderId="14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49" fontId="38" fillId="0" borderId="0" xfId="0" applyNumberFormat="1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horizontal="center" vertical="center"/>
    </xf>
    <xf numFmtId="0" fontId="0" fillId="45" borderId="0" xfId="0" applyFill="1" applyBorder="1" applyAlignment="1">
      <alignment horizontal="center" vertical="center"/>
    </xf>
    <xf numFmtId="0" fontId="0" fillId="45" borderId="16" xfId="0" applyFill="1" applyBorder="1" applyAlignment="1">
      <alignment horizontal="center" vertical="center"/>
    </xf>
    <xf numFmtId="0" fontId="0" fillId="45" borderId="10" xfId="0" applyFill="1" applyBorder="1" applyAlignment="1">
      <alignment horizontal="center" vertical="center"/>
    </xf>
    <xf numFmtId="0" fontId="0" fillId="45" borderId="12" xfId="0" applyFill="1" applyBorder="1" applyAlignment="1">
      <alignment horizontal="center" vertical="center"/>
    </xf>
    <xf numFmtId="0" fontId="0" fillId="45" borderId="11" xfId="0" applyFill="1" applyBorder="1" applyAlignment="1">
      <alignment horizontal="center" vertical="center"/>
    </xf>
    <xf numFmtId="0" fontId="0" fillId="45" borderId="14" xfId="0" applyFill="1" applyBorder="1" applyAlignment="1">
      <alignment horizontal="center" vertical="center"/>
    </xf>
    <xf numFmtId="0" fontId="0" fillId="45" borderId="15" xfId="0" applyFill="1" applyBorder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5" borderId="13" xfId="0" applyFill="1" applyBorder="1" applyAlignment="1">
      <alignment horizontal="center" vertical="center"/>
    </xf>
    <xf numFmtId="0" fontId="0" fillId="45" borderId="2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0" fontId="20" fillId="0" borderId="14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29" fillId="0" borderId="0" xfId="0" applyFont="1" applyBorder="1" applyAlignment="1">
      <alignment horizontal="left" vertical="center"/>
    </xf>
    <xf numFmtId="0" fontId="0" fillId="41" borderId="10" xfId="0" applyFill="1" applyBorder="1" applyAlignment="1">
      <alignment horizontal="center" vertical="center"/>
    </xf>
    <xf numFmtId="0" fontId="0" fillId="42" borderId="10" xfId="0" applyFill="1" applyBorder="1" applyAlignment="1">
      <alignment horizontal="center" vertical="center"/>
    </xf>
    <xf numFmtId="0" fontId="0" fillId="45" borderId="10" xfId="0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0" fillId="41" borderId="17" xfId="0" applyFill="1" applyBorder="1" applyAlignment="1">
      <alignment horizontal="center" vertical="center"/>
    </xf>
    <xf numFmtId="0" fontId="49" fillId="0" borderId="0" xfId="43" applyAlignment="1">
      <alignment horizontal="left" vertical="center"/>
    </xf>
    <xf numFmtId="0" fontId="0" fillId="46" borderId="10" xfId="0" applyFill="1" applyBorder="1" applyAlignment="1">
      <alignment horizontal="center" vertical="center"/>
    </xf>
    <xf numFmtId="0" fontId="0" fillId="46" borderId="16" xfId="0" applyFill="1" applyBorder="1" applyAlignment="1">
      <alignment horizontal="center" vertical="center"/>
    </xf>
    <xf numFmtId="0" fontId="0" fillId="46" borderId="15" xfId="0" applyFill="1" applyBorder="1" applyAlignment="1">
      <alignment horizontal="center" vertical="center"/>
    </xf>
    <xf numFmtId="0" fontId="0" fillId="46" borderId="0" xfId="0" applyFill="1" applyBorder="1" applyAlignment="1">
      <alignment horizontal="center" vertical="center"/>
    </xf>
    <xf numFmtId="0" fontId="0" fillId="46" borderId="14" xfId="0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0" fillId="47" borderId="16" xfId="0" applyFill="1" applyBorder="1" applyAlignment="1">
      <alignment horizontal="center" vertical="center"/>
    </xf>
    <xf numFmtId="0" fontId="0" fillId="47" borderId="15" xfId="0" applyFill="1" applyBorder="1" applyAlignment="1">
      <alignment horizontal="center" vertical="center"/>
    </xf>
    <xf numFmtId="0" fontId="0" fillId="47" borderId="0" xfId="0" applyFill="1" applyBorder="1" applyAlignment="1">
      <alignment horizontal="center" vertical="center"/>
    </xf>
    <xf numFmtId="0" fontId="0" fillId="48" borderId="10" xfId="0" applyFill="1" applyBorder="1" applyAlignment="1">
      <alignment horizontal="center" vertical="center"/>
    </xf>
    <xf numFmtId="0" fontId="0" fillId="48" borderId="16" xfId="0" applyFill="1" applyBorder="1" applyAlignment="1">
      <alignment horizontal="center" vertical="center"/>
    </xf>
    <xf numFmtId="0" fontId="0" fillId="48" borderId="15" xfId="0" applyFill="1" applyBorder="1" applyAlignment="1">
      <alignment horizontal="center" vertical="center"/>
    </xf>
    <xf numFmtId="0" fontId="0" fillId="48" borderId="0" xfId="0" applyFill="1" applyBorder="1" applyAlignment="1">
      <alignment horizontal="center" vertical="center"/>
    </xf>
    <xf numFmtId="0" fontId="0" fillId="49" borderId="10" xfId="0" applyFill="1" applyBorder="1" applyAlignment="1">
      <alignment horizontal="center" vertical="center"/>
    </xf>
    <xf numFmtId="0" fontId="0" fillId="49" borderId="16" xfId="0" applyFill="1" applyBorder="1" applyAlignment="1">
      <alignment horizontal="center" vertical="center"/>
    </xf>
    <xf numFmtId="0" fontId="0" fillId="49" borderId="15" xfId="0" applyFill="1" applyBorder="1" applyAlignment="1">
      <alignment horizontal="center" vertical="center"/>
    </xf>
    <xf numFmtId="0" fontId="0" fillId="49" borderId="0" xfId="0" applyFill="1" applyBorder="1" applyAlignment="1">
      <alignment horizontal="center" vertical="center"/>
    </xf>
    <xf numFmtId="0" fontId="0" fillId="47" borderId="11" xfId="0" applyFill="1" applyBorder="1" applyAlignment="1">
      <alignment horizontal="center" vertical="center"/>
    </xf>
    <xf numFmtId="0" fontId="0" fillId="47" borderId="12" xfId="0" applyFill="1" applyBorder="1" applyAlignment="1">
      <alignment horizontal="center" vertical="center"/>
    </xf>
    <xf numFmtId="0" fontId="0" fillId="47" borderId="14" xfId="0" applyFill="1" applyBorder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50" borderId="10" xfId="0" applyFill="1" applyBorder="1" applyAlignment="1">
      <alignment horizontal="center" vertical="center"/>
    </xf>
    <xf numFmtId="0" fontId="0" fillId="50" borderId="15" xfId="0" applyFill="1" applyBorder="1" applyAlignment="1">
      <alignment horizontal="center" vertical="center"/>
    </xf>
    <xf numFmtId="49" fontId="38" fillId="49" borderId="10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>
      <alignment vertical="center" shrinkToFit="1"/>
    </xf>
    <xf numFmtId="0" fontId="27" fillId="0" borderId="0" xfId="0" applyFont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shrinkToFit="1"/>
    </xf>
    <xf numFmtId="0" fontId="23" fillId="0" borderId="33" xfId="0" applyFont="1" applyBorder="1" applyAlignment="1">
      <alignment horizontal="center" vertical="center" shrinkToFit="1"/>
    </xf>
    <xf numFmtId="0" fontId="23" fillId="0" borderId="33" xfId="0" applyFont="1" applyBorder="1" applyAlignment="1">
      <alignment vertical="center" shrinkToFit="1"/>
    </xf>
    <xf numFmtId="49" fontId="38" fillId="43" borderId="10" xfId="0" applyNumberFormat="1" applyFont="1" applyFill="1" applyBorder="1" applyAlignment="1" applyProtection="1">
      <alignment horizontal="center" vertical="center" shrinkToFit="1"/>
      <protection locked="0"/>
    </xf>
    <xf numFmtId="0" fontId="50" fillId="0" borderId="28" xfId="0" applyFont="1" applyBorder="1" applyAlignment="1">
      <alignment horizontal="center" vertical="center" shrinkToFit="1"/>
    </xf>
    <xf numFmtId="0" fontId="50" fillId="0" borderId="32" xfId="0" applyFont="1" applyFill="1" applyBorder="1" applyAlignment="1">
      <alignment horizontal="center" vertical="center" shrinkToFit="1"/>
    </xf>
    <xf numFmtId="0" fontId="50" fillId="0" borderId="28" xfId="0" applyFont="1" applyFill="1" applyBorder="1" applyAlignment="1">
      <alignment horizontal="center" vertical="center" shrinkToFit="1"/>
    </xf>
    <xf numFmtId="0" fontId="50" fillId="0" borderId="32" xfId="0" applyFont="1" applyBorder="1" applyAlignment="1">
      <alignment horizontal="center" vertical="center" shrinkToFit="1"/>
    </xf>
    <xf numFmtId="49" fontId="38" fillId="0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29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49" fontId="38" fillId="0" borderId="29" xfId="0" applyNumberFormat="1" applyFont="1" applyFill="1" applyBorder="1" applyAlignment="1" applyProtection="1">
      <alignment horizontal="center" vertical="center"/>
      <protection locked="0"/>
    </xf>
    <xf numFmtId="0" fontId="50" fillId="0" borderId="29" xfId="0" applyFont="1" applyBorder="1" applyAlignment="1">
      <alignment horizontal="center" vertical="center" shrinkToFit="1"/>
    </xf>
    <xf numFmtId="0" fontId="50" fillId="0" borderId="31" xfId="0" applyFont="1" applyBorder="1" applyAlignment="1">
      <alignment horizontal="center" vertical="center" shrinkToFit="1"/>
    </xf>
    <xf numFmtId="0" fontId="50" fillId="0" borderId="33" xfId="0" applyFont="1" applyFill="1" applyBorder="1" applyAlignment="1">
      <alignment horizontal="center" vertical="center" shrinkToFit="1"/>
    </xf>
    <xf numFmtId="0" fontId="50" fillId="0" borderId="35" xfId="0" applyFont="1" applyFill="1" applyBorder="1" applyAlignment="1">
      <alignment horizontal="center" vertical="center" shrinkToFit="1"/>
    </xf>
    <xf numFmtId="0" fontId="50" fillId="0" borderId="29" xfId="0" applyFont="1" applyFill="1" applyBorder="1" applyAlignment="1">
      <alignment horizontal="center" vertical="center" shrinkToFit="1"/>
    </xf>
    <xf numFmtId="0" fontId="50" fillId="0" borderId="31" xfId="0" applyFont="1" applyFill="1" applyBorder="1" applyAlignment="1">
      <alignment horizontal="center" vertical="center" shrinkToFit="1"/>
    </xf>
    <xf numFmtId="0" fontId="50" fillId="0" borderId="33" xfId="0" applyFont="1" applyBorder="1" applyAlignment="1">
      <alignment horizontal="center" vertical="center" shrinkToFit="1"/>
    </xf>
    <xf numFmtId="0" fontId="50" fillId="0" borderId="35" xfId="0" applyFont="1" applyBorder="1" applyAlignment="1">
      <alignment horizontal="center" vertical="center" shrinkToFit="1"/>
    </xf>
    <xf numFmtId="0" fontId="22" fillId="51" borderId="22" xfId="0" applyFont="1" applyFill="1" applyBorder="1" applyAlignment="1">
      <alignment horizontal="center" vertical="center" shrinkToFit="1"/>
    </xf>
    <xf numFmtId="0" fontId="23" fillId="51" borderId="23" xfId="0" applyFont="1" applyFill="1" applyBorder="1" applyAlignment="1">
      <alignment horizontal="center" vertical="center" shrinkToFit="1"/>
    </xf>
    <xf numFmtId="0" fontId="23" fillId="51" borderId="24" xfId="0" applyFont="1" applyFill="1" applyBorder="1" applyAlignment="1">
      <alignment horizontal="center" vertical="center" shrinkToFit="1"/>
    </xf>
    <xf numFmtId="0" fontId="23" fillId="0" borderId="30" xfId="0" applyFont="1" applyBorder="1" applyAlignment="1">
      <alignment horizontal="center" vertical="center" shrinkToFit="1"/>
    </xf>
    <xf numFmtId="0" fontId="23" fillId="0" borderId="34" xfId="0" applyFont="1" applyBorder="1" applyAlignment="1">
      <alignment horizontal="center" vertical="center" shrinkToFit="1"/>
    </xf>
    <xf numFmtId="0" fontId="0" fillId="0" borderId="31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9" fontId="38" fillId="0" borderId="10" xfId="0" applyNumberFormat="1" applyFont="1" applyFill="1" applyBorder="1" applyAlignment="1" applyProtection="1">
      <alignment horizontal="left" vertical="center"/>
      <protection locked="0"/>
    </xf>
    <xf numFmtId="0" fontId="0" fillId="45" borderId="10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2" borderId="10" xfId="0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23" fillId="51" borderId="28" xfId="0" applyFont="1" applyFill="1" applyBorder="1" applyAlignment="1">
      <alignment horizontal="center" vertical="center" shrinkToFit="1"/>
    </xf>
    <xf numFmtId="0" fontId="23" fillId="51" borderId="32" xfId="0" applyFont="1" applyFill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shrinkToFit="1"/>
    </xf>
    <xf numFmtId="0" fontId="23" fillId="0" borderId="33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 shrinkToFit="1"/>
    </xf>
    <xf numFmtId="0" fontId="25" fillId="51" borderId="27" xfId="0" applyFont="1" applyFill="1" applyBorder="1" applyAlignment="1">
      <alignment horizontal="center" vertical="center" shrinkToFit="1"/>
    </xf>
    <xf numFmtId="0" fontId="25" fillId="51" borderId="25" xfId="0" applyFont="1" applyFill="1" applyBorder="1" applyAlignment="1">
      <alignment horizontal="center" vertical="center" shrinkToFit="1"/>
    </xf>
    <xf numFmtId="0" fontId="25" fillId="51" borderId="26" xfId="0" applyFont="1" applyFill="1" applyBorder="1" applyAlignment="1">
      <alignment horizontal="center" vertical="center" shrinkToFit="1"/>
    </xf>
    <xf numFmtId="0" fontId="23" fillId="51" borderId="23" xfId="0" applyFont="1" applyFill="1" applyBorder="1" applyAlignment="1">
      <alignment horizontal="center" vertical="center" shrinkToFit="1"/>
    </xf>
    <xf numFmtId="0" fontId="23" fillId="51" borderId="28" xfId="0" applyFont="1" applyFill="1" applyBorder="1" applyAlignment="1">
      <alignment horizontal="center" vertical="center" wrapText="1" shrinkToFit="1"/>
    </xf>
    <xf numFmtId="0" fontId="28" fillId="0" borderId="0" xfId="0" applyFont="1" applyBorder="1" applyAlignment="1" applyProtection="1">
      <alignment horizontal="center" vertical="center"/>
      <protection locked="0"/>
    </xf>
    <xf numFmtId="0" fontId="0" fillId="39" borderId="10" xfId="0" applyFill="1" applyBorder="1" applyAlignment="1">
      <alignment horizontal="center"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3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通貨" xfId="42" builtinId="7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746760</xdr:colOff>
      <xdr:row>49</xdr:row>
      <xdr:rowOff>7620</xdr:rowOff>
    </xdr:from>
    <xdr:to>
      <xdr:col>28</xdr:col>
      <xdr:colOff>906779</xdr:colOff>
      <xdr:row>52</xdr:row>
      <xdr:rowOff>149659</xdr:rowOff>
    </xdr:to>
    <xdr:sp macro="" textlink="">
      <xdr:nvSpPr>
        <xdr:cNvPr id="2" name="角丸四角形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>
          <a:off x="8795385" y="8351520"/>
          <a:ext cx="2617469" cy="656389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chemeClr val="tx1"/>
              </a:solidFill>
            </a:rPr>
            <a:t>異動、変更等が発生したら、</a:t>
          </a:r>
          <a:endParaRPr lang="en-US" altLang="ja-JP" sz="1200">
            <a:solidFill>
              <a:schemeClr val="tx1"/>
            </a:solidFill>
          </a:endParaRPr>
        </a:p>
        <a:p>
          <a:pPr algn="ctr"/>
          <a:r>
            <a:rPr lang="ja-JP" altLang="en-US" sz="1200">
              <a:solidFill>
                <a:schemeClr val="tx1"/>
              </a:solidFill>
            </a:rPr>
            <a:t>経営管理部に連絡をしてください。</a:t>
          </a:r>
          <a:endParaRPr kumimoji="1" lang="ja-JP" altLang="en-US" sz="12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156883</xdr:colOff>
      <xdr:row>46</xdr:row>
      <xdr:rowOff>145676</xdr:rowOff>
    </xdr:from>
    <xdr:to>
      <xdr:col>27</xdr:col>
      <xdr:colOff>48553</xdr:colOff>
      <xdr:row>49</xdr:row>
      <xdr:rowOff>73459</xdr:rowOff>
    </xdr:to>
    <xdr:sp macro="" textlink="">
      <xdr:nvSpPr>
        <xdr:cNvPr id="2" name="角丸四角形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>
          <a:off x="9087971" y="7877735"/>
          <a:ext cx="2547464" cy="43204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chemeClr val="tx1"/>
              </a:solidFill>
            </a:rPr>
            <a:t>異動、変更等が発生したら、</a:t>
          </a:r>
          <a:endParaRPr lang="en-US" altLang="ja-JP" sz="1200">
            <a:solidFill>
              <a:schemeClr val="tx1"/>
            </a:solidFill>
          </a:endParaRPr>
        </a:p>
        <a:p>
          <a:pPr algn="ctr"/>
          <a:r>
            <a:rPr lang="ja-JP" altLang="en-US" sz="1200">
              <a:solidFill>
                <a:schemeClr val="tx1"/>
              </a:solidFill>
            </a:rPr>
            <a:t>経営管理部に連絡をしてください。</a:t>
          </a:r>
          <a:endParaRPr kumimoji="1" lang="ja-JP" altLang="en-US" sz="12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746760</xdr:colOff>
      <xdr:row>49</xdr:row>
      <xdr:rowOff>7620</xdr:rowOff>
    </xdr:from>
    <xdr:to>
      <xdr:col>28</xdr:col>
      <xdr:colOff>906779</xdr:colOff>
      <xdr:row>52</xdr:row>
      <xdr:rowOff>149659</xdr:rowOff>
    </xdr:to>
    <xdr:sp macro="" textlink="">
      <xdr:nvSpPr>
        <xdr:cNvPr id="2" name="角丸四角形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SpPr/>
      </xdr:nvSpPr>
      <xdr:spPr>
        <a:xfrm>
          <a:off x="7993380" y="8168640"/>
          <a:ext cx="2369819" cy="644959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200">
              <a:solidFill>
                <a:schemeClr val="tx1"/>
              </a:solidFill>
            </a:rPr>
            <a:t>異動、変更等が発生したら、</a:t>
          </a:r>
          <a:endParaRPr lang="en-US" altLang="ja-JP" sz="1200">
            <a:solidFill>
              <a:schemeClr val="tx1"/>
            </a:solidFill>
          </a:endParaRPr>
        </a:p>
        <a:p>
          <a:pPr algn="ctr"/>
          <a:r>
            <a:rPr lang="ja-JP" altLang="en-US" sz="1200">
              <a:solidFill>
                <a:schemeClr val="tx1"/>
              </a:solidFill>
            </a:rPr>
            <a:t>経営管理部に連絡をしてください。</a:t>
          </a:r>
          <a:endParaRPr kumimoji="1" lang="ja-JP" altLang="en-US" sz="12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ba@mmin-net.co.j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miyazawa@mmin-net.co.jp" TargetMode="External"/><Relationship Id="rId18" Type="http://schemas.openxmlformats.org/officeDocument/2006/relationships/hyperlink" Target="mailto:susonokita-mmi@ezweb.ne.jp" TargetMode="External"/><Relationship Id="rId26" Type="http://schemas.openxmlformats.org/officeDocument/2006/relationships/hyperlink" Target="mailto:mega-mmi@ezweb.ne.jp" TargetMode="External"/><Relationship Id="rId39" Type="http://schemas.openxmlformats.org/officeDocument/2006/relationships/hyperlink" Target="mailto:h-ando-mmi@ezweb.ne.jp" TargetMode="External"/><Relationship Id="rId3" Type="http://schemas.openxmlformats.org/officeDocument/2006/relationships/hyperlink" Target="mailto:iiduka@mmin-net.co.jp" TargetMode="External"/><Relationship Id="rId21" Type="http://schemas.openxmlformats.org/officeDocument/2006/relationships/hyperlink" Target="mailto:numadu-mmi@ezweb.ne.jp" TargetMode="External"/><Relationship Id="rId34" Type="http://schemas.openxmlformats.org/officeDocument/2006/relationships/hyperlink" Target="mailto:ais.akishima-mmi@ezweb.ne.jp" TargetMode="External"/><Relationship Id="rId42" Type="http://schemas.openxmlformats.org/officeDocument/2006/relationships/hyperlink" Target="mailto:y-oshima-mmi@ezweb.ne.jp" TargetMode="External"/><Relationship Id="rId47" Type="http://schemas.openxmlformats.org/officeDocument/2006/relationships/hyperlink" Target="mailto:s-sasaki@mmin-net.co.jp&#12288;" TargetMode="External"/><Relationship Id="rId50" Type="http://schemas.openxmlformats.org/officeDocument/2006/relationships/hyperlink" Target="mailto:ishibashi@mmin-net.co.jp" TargetMode="External"/><Relationship Id="rId7" Type="http://schemas.openxmlformats.org/officeDocument/2006/relationships/hyperlink" Target="mailto:iiduka-mmi@ezweb.ne.jp" TargetMode="External"/><Relationship Id="rId12" Type="http://schemas.openxmlformats.org/officeDocument/2006/relationships/hyperlink" Target="mailto:miyazawa-mmi@ezweb.ne.jp" TargetMode="External"/><Relationship Id="rId17" Type="http://schemas.openxmlformats.org/officeDocument/2006/relationships/hyperlink" Target="mailto:kannami-mmi@ezweb.ne.jp" TargetMode="External"/><Relationship Id="rId25" Type="http://schemas.openxmlformats.org/officeDocument/2006/relationships/hyperlink" Target="mailto:yosiwara-mmi@ezweb.ne.jp" TargetMode="External"/><Relationship Id="rId33" Type="http://schemas.openxmlformats.org/officeDocument/2006/relationships/hyperlink" Target="mailto:raihu.kawasaki-mmi@ezweb.ne.jp" TargetMode="External"/><Relationship Id="rId38" Type="http://schemas.openxmlformats.org/officeDocument/2006/relationships/hyperlink" Target="mailto:son-mmi@ezweb.ne.jp" TargetMode="External"/><Relationship Id="rId46" Type="http://schemas.openxmlformats.org/officeDocument/2006/relationships/hyperlink" Target="mailto:koitabashi@mmin-net.co.jp" TargetMode="External"/><Relationship Id="rId2" Type="http://schemas.openxmlformats.org/officeDocument/2006/relationships/hyperlink" Target="mailto:y-sato@mmin-net.co.jp" TargetMode="External"/><Relationship Id="rId16" Type="http://schemas.openxmlformats.org/officeDocument/2006/relationships/hyperlink" Target="mailto:kanuki-mmi@ezweb.ne.jp" TargetMode="External"/><Relationship Id="rId20" Type="http://schemas.openxmlformats.org/officeDocument/2006/relationships/hyperlink" Target="mailto:nakahara-mmi@ezweb.ne.jp" TargetMode="External"/><Relationship Id="rId29" Type="http://schemas.openxmlformats.org/officeDocument/2006/relationships/hyperlink" Target="mailto:toushinden-mmi@ezweb.ne.jp" TargetMode="External"/><Relationship Id="rId41" Type="http://schemas.openxmlformats.org/officeDocument/2006/relationships/hyperlink" Target="mailto:i-kobayashi-mmi@ezweb.ne.jp" TargetMode="External"/><Relationship Id="rId1" Type="http://schemas.openxmlformats.org/officeDocument/2006/relationships/hyperlink" Target="mailto:y.sato-mmi@ezweb.ne.jp" TargetMode="External"/><Relationship Id="rId6" Type="http://schemas.openxmlformats.org/officeDocument/2006/relationships/hyperlink" Target="mailto:sagae-mmi@ezweb.ne.jp" TargetMode="External"/><Relationship Id="rId11" Type="http://schemas.openxmlformats.org/officeDocument/2006/relationships/hyperlink" Target="mailto:hiyoshi-mmi@ezweb.ne.jp" TargetMode="External"/><Relationship Id="rId24" Type="http://schemas.openxmlformats.org/officeDocument/2006/relationships/hyperlink" Target="mailto:hujinomiya-mmi@ezweb.ne.jp" TargetMode="External"/><Relationship Id="rId32" Type="http://schemas.openxmlformats.org/officeDocument/2006/relationships/hyperlink" Target="mailto:muramatu-mmi@ezweb.ne.jp" TargetMode="External"/><Relationship Id="rId37" Type="http://schemas.openxmlformats.org/officeDocument/2006/relationships/hyperlink" Target="mailto:yun-mmi@ezweb.ne.jp" TargetMode="External"/><Relationship Id="rId40" Type="http://schemas.openxmlformats.org/officeDocument/2006/relationships/hyperlink" Target="mailto:sa-sasaki-mmi@ezweb.ne.jp" TargetMode="External"/><Relationship Id="rId45" Type="http://schemas.openxmlformats.org/officeDocument/2006/relationships/hyperlink" Target="mailto:h-ando@mmin-net.co.jp" TargetMode="External"/><Relationship Id="rId53" Type="http://schemas.openxmlformats.org/officeDocument/2006/relationships/printerSettings" Target="../printerSettings/printerSettings4.bin"/><Relationship Id="rId5" Type="http://schemas.openxmlformats.org/officeDocument/2006/relationships/hyperlink" Target="mailto:kishi-mmi@ezweb.ne.jp" TargetMode="External"/><Relationship Id="rId15" Type="http://schemas.openxmlformats.org/officeDocument/2006/relationships/hyperlink" Target="mailto:aratajima-mmi@ezweb.ne.jp" TargetMode="External"/><Relationship Id="rId23" Type="http://schemas.openxmlformats.org/officeDocument/2006/relationships/hyperlink" Target="mailto:raito.hagiwara-mmi@ezweb.ne.jp" TargetMode="External"/><Relationship Id="rId28" Type="http://schemas.openxmlformats.org/officeDocument/2006/relationships/hyperlink" Target="mailto:sodeshi-mmi@ezweb.ne.jp" TargetMode="External"/><Relationship Id="rId36" Type="http://schemas.openxmlformats.org/officeDocument/2006/relationships/hyperlink" Target="mailto:hiyoshi@mmin-net.co.jp&#12288;" TargetMode="External"/><Relationship Id="rId49" Type="http://schemas.openxmlformats.org/officeDocument/2006/relationships/hyperlink" Target="mailto:ooshima@mmin-net.co.jp" TargetMode="External"/><Relationship Id="rId10" Type="http://schemas.openxmlformats.org/officeDocument/2006/relationships/hyperlink" Target="mailto:noguchi-mmi@ezweb.ne.jp" TargetMode="External"/><Relationship Id="rId19" Type="http://schemas.openxmlformats.org/officeDocument/2006/relationships/hyperlink" Target="mailto:takaoka-mmi@ezweb.ne.jp" TargetMode="External"/><Relationship Id="rId31" Type="http://schemas.openxmlformats.org/officeDocument/2006/relationships/hyperlink" Target="mailto:suidocho-mmi@ezweb.ne.jp" TargetMode="External"/><Relationship Id="rId44" Type="http://schemas.openxmlformats.org/officeDocument/2006/relationships/hyperlink" Target="mailto:miki-mmi@ezweb.ne.jp" TargetMode="External"/><Relationship Id="rId52" Type="http://schemas.openxmlformats.org/officeDocument/2006/relationships/hyperlink" Target="mailto:i-koitabashi-mmi@ezweb.ne.jp" TargetMode="External"/><Relationship Id="rId4" Type="http://schemas.openxmlformats.org/officeDocument/2006/relationships/hyperlink" Target="mailto:kishi@mmin-net.co.jp" TargetMode="External"/><Relationship Id="rId9" Type="http://schemas.openxmlformats.org/officeDocument/2006/relationships/hyperlink" Target="mailto:noguchi@mmin-net.co.jp&#12288;" TargetMode="External"/><Relationship Id="rId14" Type="http://schemas.openxmlformats.org/officeDocument/2006/relationships/hyperlink" Target="mailto:watanabe-mmi@ezweb.ne.jp" TargetMode="External"/><Relationship Id="rId22" Type="http://schemas.openxmlformats.org/officeDocument/2006/relationships/hyperlink" Target="mailto:hagiwarahigasi-mmi@ezweb.ne.jp" TargetMode="External"/><Relationship Id="rId27" Type="http://schemas.openxmlformats.org/officeDocument/2006/relationships/hyperlink" Target="mailto:kusanagi-mmi@ezweb.ne.jp" TargetMode="External"/><Relationship Id="rId30" Type="http://schemas.openxmlformats.org/officeDocument/2006/relationships/hyperlink" Target="mailto:torisaka-mmi@ezweb.ne.jp" TargetMode="External"/><Relationship Id="rId35" Type="http://schemas.openxmlformats.org/officeDocument/2006/relationships/hyperlink" Target="mailto:abe@mmin-net.co.jp" TargetMode="External"/><Relationship Id="rId43" Type="http://schemas.openxmlformats.org/officeDocument/2006/relationships/hyperlink" Target="mailto:ishibashi-mmi@ezweb.ne.jp" TargetMode="External"/><Relationship Id="rId48" Type="http://schemas.openxmlformats.org/officeDocument/2006/relationships/hyperlink" Target="mailto:kobayashi@mmin-net.co.jp&#12288;" TargetMode="External"/><Relationship Id="rId8" Type="http://schemas.openxmlformats.org/officeDocument/2006/relationships/hyperlink" Target="mailto:abe-mmi@ezweb.ne.jp" TargetMode="External"/><Relationship Id="rId51" Type="http://schemas.openxmlformats.org/officeDocument/2006/relationships/hyperlink" Target="mailto:miki@mmin-net.co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AF53"/>
  <sheetViews>
    <sheetView view="pageBreakPreview" zoomScaleNormal="85" zoomScaleSheetLayoutView="100" workbookViewId="0"/>
  </sheetViews>
  <sheetFormatPr defaultColWidth="9" defaultRowHeight="13.5"/>
  <cols>
    <col min="1" max="1" width="2" style="1" customWidth="1"/>
    <col min="2" max="2" width="10.5" style="1" customWidth="1"/>
    <col min="3" max="6" width="2.625" style="1" customWidth="1"/>
    <col min="7" max="7" width="7.875" style="1" customWidth="1"/>
    <col min="8" max="8" width="7.75" style="1" customWidth="1"/>
    <col min="9" max="10" width="1.25" style="10" customWidth="1"/>
    <col min="11" max="11" width="13.625" style="1" customWidth="1"/>
    <col min="12" max="13" width="1.25" style="10" customWidth="1"/>
    <col min="14" max="14" width="13.625" style="1" customWidth="1"/>
    <col min="15" max="16" width="1.25" style="10" customWidth="1"/>
    <col min="17" max="17" width="13.625" style="1" customWidth="1"/>
    <col min="18" max="19" width="1.25" style="10" customWidth="1"/>
    <col min="20" max="20" width="13.625" style="1" customWidth="1"/>
    <col min="21" max="22" width="1.25" style="10" customWidth="1"/>
    <col min="23" max="23" width="13.625" style="1" customWidth="1"/>
    <col min="24" max="25" width="1.25" style="1" customWidth="1"/>
    <col min="26" max="26" width="13.625" style="1" customWidth="1"/>
    <col min="27" max="27" width="1.25" style="10" customWidth="1"/>
    <col min="28" max="28" width="1.25" style="1" customWidth="1"/>
    <col min="29" max="29" width="13.625" style="1" customWidth="1"/>
    <col min="30" max="31" width="1.25" style="1" customWidth="1"/>
    <col min="32" max="32" width="13.625" style="1" customWidth="1"/>
    <col min="33" max="34" width="1.25" style="1" customWidth="1"/>
    <col min="35" max="35" width="13.625" style="1" customWidth="1"/>
    <col min="36" max="16384" width="9" style="1"/>
  </cols>
  <sheetData>
    <row r="1" spans="2:29">
      <c r="H1" s="137"/>
      <c r="Q1" s="10"/>
    </row>
    <row r="2" spans="2:29" ht="9" customHeight="1"/>
    <row r="3" spans="2:29">
      <c r="E3" s="125"/>
      <c r="F3" s="163"/>
      <c r="G3" s="253" t="s">
        <v>825</v>
      </c>
      <c r="H3" s="253"/>
      <c r="I3" s="118"/>
      <c r="J3" s="118"/>
      <c r="K3" s="184" t="s">
        <v>826</v>
      </c>
      <c r="L3" s="118"/>
      <c r="M3" s="118"/>
      <c r="N3" s="184" t="s">
        <v>828</v>
      </c>
      <c r="O3" s="118"/>
      <c r="P3" s="118"/>
      <c r="Q3" s="184" t="s">
        <v>827</v>
      </c>
      <c r="R3" s="118"/>
      <c r="S3" s="118"/>
      <c r="T3" s="184" t="s">
        <v>830</v>
      </c>
      <c r="U3" s="118"/>
      <c r="V3" s="118"/>
      <c r="W3" s="184" t="s">
        <v>851</v>
      </c>
      <c r="X3" s="122"/>
      <c r="Y3" s="123"/>
      <c r="Z3" s="123"/>
      <c r="AA3" s="122"/>
      <c r="AB3" s="123"/>
      <c r="AC3" s="123"/>
    </row>
    <row r="4" spans="2:29">
      <c r="E4" s="125"/>
      <c r="F4" s="178"/>
      <c r="G4" s="253" t="str">
        <f>IF(G3="","",VLOOKUP(G3,表示電話番号一覧!$C:$F,4,FALSE))</f>
        <v>080-3754-3568</v>
      </c>
      <c r="H4" s="253"/>
      <c r="I4" s="122"/>
      <c r="J4" s="120"/>
      <c r="K4" s="121" t="str">
        <f>IF(K3="","",VLOOKUP(K3,表示電話番号一覧!$C:$F,4,FALSE))</f>
        <v>080-4862-3745</v>
      </c>
      <c r="L4" s="122"/>
      <c r="M4" s="122"/>
      <c r="N4" s="121" t="str">
        <f>IF(N3="","",VLOOKUP(N3,表示電話番号一覧!$C:$F,4,FALSE))</f>
        <v>090-1791-5298</v>
      </c>
      <c r="O4" s="122"/>
      <c r="P4" s="122"/>
      <c r="Q4" s="121" t="str">
        <f>IF(Q3="","",VLOOKUP(Q3,表示電話番号一覧!$C:$F,4,FALSE))</f>
        <v>090-3104-3067</v>
      </c>
      <c r="R4" s="122"/>
      <c r="S4" s="122"/>
      <c r="T4" s="121" t="str">
        <f>IF(T3="","",VLOOKUP(T3,表示電話番号一覧!$C:$F,4,FALSE))</f>
        <v>080-3384-9464</v>
      </c>
      <c r="U4" s="122"/>
      <c r="V4" s="122"/>
      <c r="W4" s="184" t="str">
        <f>IF(W3="","",VLOOKUP(W3,表示電話番号一覧!$C:$F,4,FALSE))</f>
        <v>080-4584-2248</v>
      </c>
      <c r="X4" s="122"/>
      <c r="Y4" s="123"/>
      <c r="Z4" s="123"/>
      <c r="AA4" s="122"/>
      <c r="AB4" s="123"/>
      <c r="AC4" s="123"/>
    </row>
    <row r="5" spans="2:29">
      <c r="B5" s="10"/>
      <c r="C5" s="10"/>
      <c r="D5" s="10"/>
      <c r="E5" s="125"/>
      <c r="F5" s="164"/>
      <c r="G5" s="152" t="s">
        <v>868</v>
      </c>
      <c r="I5" s="122"/>
      <c r="J5" s="120"/>
      <c r="K5" s="123"/>
      <c r="L5" s="122"/>
      <c r="M5" s="122"/>
      <c r="N5" s="123"/>
      <c r="O5" s="122"/>
      <c r="P5" s="122"/>
      <c r="Q5" s="123"/>
      <c r="R5" s="122"/>
      <c r="S5" s="122"/>
      <c r="T5" s="123"/>
      <c r="U5" s="122"/>
      <c r="V5" s="122"/>
      <c r="W5" s="123"/>
      <c r="X5" s="123"/>
      <c r="Y5" s="123"/>
      <c r="Z5" s="123"/>
      <c r="AA5" s="122"/>
      <c r="AB5" s="123"/>
      <c r="AC5" s="123"/>
    </row>
    <row r="6" spans="2:29">
      <c r="B6" s="10"/>
      <c r="C6" s="10"/>
      <c r="D6" s="10"/>
      <c r="E6" s="3"/>
      <c r="F6" s="164"/>
      <c r="I6" s="122"/>
      <c r="J6" s="121"/>
      <c r="K6" s="184" t="s">
        <v>831</v>
      </c>
      <c r="L6" s="118"/>
      <c r="M6" s="118"/>
      <c r="N6" s="184" t="s">
        <v>832</v>
      </c>
      <c r="O6" s="118"/>
      <c r="P6" s="118"/>
      <c r="Q6" s="184" t="s">
        <v>833</v>
      </c>
      <c r="R6" s="118"/>
      <c r="S6" s="118"/>
      <c r="T6" s="184" t="s">
        <v>834</v>
      </c>
      <c r="U6" s="118"/>
      <c r="V6" s="118"/>
      <c r="W6" s="184" t="s">
        <v>938</v>
      </c>
      <c r="X6" s="119"/>
      <c r="Y6" s="118"/>
      <c r="Z6" s="184" t="s">
        <v>880</v>
      </c>
      <c r="AA6" s="119"/>
      <c r="AB6" s="118"/>
      <c r="AC6" s="184" t="s">
        <v>877</v>
      </c>
    </row>
    <row r="7" spans="2:29">
      <c r="B7" s="10"/>
      <c r="C7" s="10"/>
      <c r="D7" s="10"/>
      <c r="E7" s="3"/>
      <c r="F7" s="164"/>
      <c r="I7" s="122"/>
      <c r="J7" s="122"/>
      <c r="K7" s="121" t="str">
        <f>IF(K6="","",VLOOKUP(K6,表示電話番号一覧!$C:$F,4,FALSE))</f>
        <v>070-3514-2223</v>
      </c>
      <c r="L7" s="122"/>
      <c r="M7" s="122"/>
      <c r="N7" s="121" t="str">
        <f>IF(N6="","",VLOOKUP(N6,表示電話番号一覧!$C:$F,4,FALSE))</f>
        <v>070-3541-0264</v>
      </c>
      <c r="O7" s="122"/>
      <c r="P7" s="122"/>
      <c r="Q7" s="121" t="str">
        <f>IF(Q6="","",VLOOKUP(Q6,表示電話番号一覧!$C:$F,4,FALSE))</f>
        <v>080-7933-6122</v>
      </c>
      <c r="R7" s="122"/>
      <c r="S7" s="122"/>
      <c r="T7" s="121" t="s">
        <v>106</v>
      </c>
      <c r="U7" s="122"/>
      <c r="V7" s="122"/>
      <c r="W7" s="121" t="str">
        <f>IF(W6="","",VLOOKUP(W6,表示電話番号一覧!$C:$F,4,FALSE))</f>
        <v>090-9811-6923</v>
      </c>
      <c r="X7" s="123"/>
      <c r="Y7" s="123"/>
      <c r="Z7" s="121" t="s">
        <v>117</v>
      </c>
      <c r="AA7" s="122"/>
      <c r="AB7" s="123"/>
      <c r="AC7" s="121" t="s">
        <v>889</v>
      </c>
    </row>
    <row r="8" spans="2:29">
      <c r="B8" s="10"/>
      <c r="C8" s="10"/>
      <c r="D8" s="10"/>
      <c r="E8" s="3"/>
      <c r="F8" s="164"/>
      <c r="K8" s="10"/>
    </row>
    <row r="9" spans="2:29">
      <c r="B9" s="10"/>
      <c r="C9" s="10"/>
      <c r="D9" s="10"/>
      <c r="E9" s="3"/>
      <c r="F9" s="164"/>
      <c r="I9" s="112"/>
      <c r="J9" s="106"/>
      <c r="K9" s="183" t="s">
        <v>837</v>
      </c>
      <c r="L9" s="108"/>
      <c r="M9" s="108"/>
      <c r="N9" s="183" t="s">
        <v>67</v>
      </c>
      <c r="O9" s="108"/>
      <c r="P9" s="108"/>
      <c r="Q9" s="183" t="s">
        <v>84</v>
      </c>
      <c r="R9" s="108"/>
      <c r="S9" s="108"/>
      <c r="T9" s="183" t="s">
        <v>838</v>
      </c>
      <c r="U9" s="108"/>
      <c r="V9" s="108"/>
      <c r="W9" s="183" t="s">
        <v>81</v>
      </c>
      <c r="X9" s="109"/>
      <c r="Y9" s="106"/>
      <c r="Z9" s="186" t="s">
        <v>952</v>
      </c>
      <c r="AA9" s="112"/>
      <c r="AB9" s="113"/>
      <c r="AC9" s="113"/>
    </row>
    <row r="10" spans="2:29">
      <c r="B10" s="10"/>
      <c r="C10" s="10"/>
      <c r="D10" s="10"/>
      <c r="E10" s="3"/>
      <c r="F10" s="164"/>
      <c r="I10" s="112"/>
      <c r="J10" s="110"/>
      <c r="K10" s="111" t="str">
        <f>IF(K9="","",VLOOKUP(K9,表示電話番号一覧!$C:$F,4,FALSE))</f>
        <v>080-4581-1554</v>
      </c>
      <c r="L10" s="112"/>
      <c r="M10" s="112"/>
      <c r="N10" s="111" t="str">
        <f>IF(N9="","",VLOOKUP(N9,表示電話番号一覧!$C:$F,4,FALSE))</f>
        <v>080-3431-6721</v>
      </c>
      <c r="O10" s="112"/>
      <c r="P10" s="112"/>
      <c r="Q10" s="111" t="str">
        <f>IF(Q9="","",VLOOKUP(Q9,表示電話番号一覧!$C:$F,4,FALSE))</f>
        <v>080-3566-8973</v>
      </c>
      <c r="R10" s="112"/>
      <c r="S10" s="112"/>
      <c r="T10" s="111" t="str">
        <f>IF(T9="","",VLOOKUP(T9,表示電話番号一覧!$C:$F,4,FALSE))</f>
        <v>070-3854-6729</v>
      </c>
      <c r="U10" s="112"/>
      <c r="V10" s="112"/>
      <c r="W10" s="111" t="str">
        <f>IF(W9="","",VLOOKUP(W9,表示電話番号一覧!$C:$F,4,FALSE))</f>
        <v>080-9870-0199</v>
      </c>
      <c r="X10" s="113"/>
      <c r="Y10" s="113"/>
      <c r="Z10" s="111" t="str">
        <f>IF(Z9="","",VLOOKUP(Z9,表示電話番号一覧!$C:$F,4,FALSE))</f>
        <v>070-3852-1849</v>
      </c>
      <c r="AA10" s="112"/>
      <c r="AB10" s="113"/>
      <c r="AC10" s="113"/>
    </row>
    <row r="11" spans="2:29">
      <c r="B11" s="10"/>
      <c r="C11" s="10"/>
      <c r="D11" s="10"/>
      <c r="E11" s="3"/>
      <c r="F11" s="164"/>
      <c r="I11" s="112"/>
      <c r="J11" s="110"/>
      <c r="K11" s="113"/>
      <c r="L11" s="112"/>
      <c r="M11" s="112"/>
      <c r="N11" s="113"/>
      <c r="O11" s="112"/>
      <c r="P11" s="112"/>
      <c r="Q11" s="113"/>
      <c r="R11" s="112"/>
      <c r="S11" s="112"/>
      <c r="T11" s="112"/>
      <c r="U11" s="112"/>
      <c r="V11" s="112"/>
      <c r="W11" s="113"/>
      <c r="X11" s="113"/>
      <c r="Y11" s="113"/>
      <c r="Z11" s="113"/>
      <c r="AA11" s="112"/>
      <c r="AB11" s="113"/>
      <c r="AC11" s="113"/>
    </row>
    <row r="12" spans="2:29">
      <c r="B12" s="139" t="s">
        <v>108</v>
      </c>
      <c r="C12" s="10"/>
      <c r="D12" s="10"/>
      <c r="E12" s="3"/>
      <c r="F12" s="164"/>
      <c r="G12" s="10"/>
      <c r="H12" s="10"/>
      <c r="I12" s="112"/>
      <c r="J12" s="111"/>
      <c r="K12" s="183" t="s">
        <v>33</v>
      </c>
      <c r="L12" s="108"/>
      <c r="M12" s="108"/>
      <c r="N12" s="183" t="s">
        <v>49</v>
      </c>
      <c r="O12" s="108"/>
      <c r="P12" s="108"/>
      <c r="Q12" s="183" t="s">
        <v>75</v>
      </c>
      <c r="R12" s="108"/>
      <c r="S12" s="108"/>
      <c r="T12" s="183" t="s">
        <v>839</v>
      </c>
      <c r="U12" s="112"/>
      <c r="V12" s="113"/>
      <c r="W12" s="113"/>
      <c r="X12" s="112"/>
      <c r="Y12" s="113"/>
      <c r="Z12" s="113"/>
      <c r="AA12" s="112"/>
      <c r="AB12" s="113"/>
      <c r="AC12" s="113"/>
    </row>
    <row r="13" spans="2:29">
      <c r="B13" s="140" t="s">
        <v>115</v>
      </c>
      <c r="C13" s="10"/>
      <c r="D13" s="10"/>
      <c r="E13" s="3"/>
      <c r="F13" s="164"/>
      <c r="G13" s="10"/>
      <c r="H13" s="10"/>
      <c r="I13" s="112"/>
      <c r="J13" s="110"/>
      <c r="K13" s="111" t="str">
        <f>IF(K12="","",VLOOKUP(K12,表示電話番号一覧!$C:$F,4,FALSE))</f>
        <v>080-3270-6875</v>
      </c>
      <c r="L13" s="112"/>
      <c r="M13" s="110"/>
      <c r="N13" s="111" t="str">
        <f>IF(N12="","",VLOOKUP(N12,表示電話番号一覧!$C:$F,4,FALSE))</f>
        <v>090-9808-6751</v>
      </c>
      <c r="O13" s="112"/>
      <c r="P13" s="112"/>
      <c r="Q13" s="111" t="str">
        <f>IF(Q12="","",VLOOKUP(Q12,表示電話番号一覧!$C:$F,4,FALSE))</f>
        <v>080-9802-4443</v>
      </c>
      <c r="R13" s="112"/>
      <c r="S13" s="112"/>
      <c r="T13" s="111" t="str">
        <f>IF(T12="","",VLOOKUP(T12,表示電話番号一覧!$C:$F,4,FALSE))</f>
        <v>080-3606-3448</v>
      </c>
      <c r="U13" s="112"/>
      <c r="V13" s="113"/>
      <c r="W13" s="113"/>
      <c r="X13" s="112"/>
      <c r="Y13" s="113"/>
      <c r="Z13" s="113"/>
      <c r="AA13" s="112"/>
      <c r="AB13" s="113"/>
      <c r="AC13" s="113"/>
    </row>
    <row r="14" spans="2:29">
      <c r="B14" s="140" t="s">
        <v>116</v>
      </c>
      <c r="C14" s="10"/>
      <c r="D14" s="10"/>
      <c r="E14" s="3"/>
      <c r="F14" s="164"/>
      <c r="I14" s="112"/>
      <c r="J14" s="110"/>
      <c r="K14" s="113"/>
      <c r="L14" s="112"/>
      <c r="M14" s="110"/>
      <c r="N14" s="113"/>
      <c r="O14" s="112"/>
      <c r="P14" s="112"/>
      <c r="Q14" s="113"/>
      <c r="R14" s="112"/>
      <c r="S14" s="112"/>
      <c r="T14" s="113"/>
      <c r="U14" s="112"/>
      <c r="V14" s="112"/>
      <c r="W14" s="113"/>
      <c r="X14" s="113"/>
      <c r="Y14" s="113"/>
      <c r="Z14" s="113"/>
      <c r="AA14" s="112"/>
      <c r="AB14" s="113"/>
      <c r="AC14" s="113"/>
    </row>
    <row r="15" spans="2:29">
      <c r="B15" s="10"/>
      <c r="C15" s="10"/>
      <c r="D15" s="10"/>
      <c r="E15" s="3"/>
      <c r="F15" s="164"/>
      <c r="I15" s="112"/>
      <c r="J15" s="110"/>
      <c r="K15" s="112"/>
      <c r="L15" s="112"/>
      <c r="M15" s="111"/>
      <c r="N15" s="183" t="s">
        <v>55</v>
      </c>
      <c r="O15" s="108"/>
      <c r="P15" s="108"/>
      <c r="Q15" s="183" t="s">
        <v>823</v>
      </c>
      <c r="R15" s="108"/>
      <c r="S15" s="108"/>
      <c r="T15" s="183" t="s">
        <v>824</v>
      </c>
      <c r="U15" s="108"/>
      <c r="V15" s="108"/>
      <c r="W15" s="183" t="s">
        <v>440</v>
      </c>
      <c r="X15" s="112"/>
      <c r="Y15" s="113"/>
      <c r="Z15" s="113"/>
      <c r="AA15" s="112"/>
      <c r="AB15" s="113"/>
      <c r="AC15" s="113"/>
    </row>
    <row r="16" spans="2:29">
      <c r="C16" s="10"/>
      <c r="D16" s="10"/>
      <c r="E16" s="3"/>
      <c r="F16" s="164"/>
      <c r="I16" s="112"/>
      <c r="J16" s="110"/>
      <c r="K16" s="112" t="str">
        <f>IF(K15="","",VLOOKUP(K15,表示電話番号一覧!$C:$F,4,FALSE))</f>
        <v/>
      </c>
      <c r="L16" s="112"/>
      <c r="M16" s="112"/>
      <c r="N16" s="111" t="str">
        <f>IF(N15="","",VLOOKUP(N15,表示電話番号一覧!$C:$F,4,FALSE))</f>
        <v>080-4373-7684</v>
      </c>
      <c r="O16" s="112"/>
      <c r="P16" s="112"/>
      <c r="Q16" s="111" t="str">
        <f>IF(Q15="","",VLOOKUP(Q15,表示電話番号一覧!$C:$F,4,FALSE))</f>
        <v>070-3854-6728</v>
      </c>
      <c r="R16" s="112"/>
      <c r="S16" s="112"/>
      <c r="T16" s="111" t="str">
        <f>IF(T15="","",VLOOKUP(T15,表示電話番号一覧!$C:$F,4,FALSE))</f>
        <v>070-3854-6730</v>
      </c>
      <c r="U16" s="112"/>
      <c r="V16" s="112"/>
      <c r="W16" s="111" t="str">
        <f>IF(W15="","",VLOOKUP(W15,表示電話番号一覧!$C:$F,4,FALSE))</f>
        <v>070-3864-2675</v>
      </c>
      <c r="X16" s="112"/>
      <c r="Y16" s="113"/>
      <c r="Z16" s="113"/>
      <c r="AA16" s="112"/>
      <c r="AB16" s="113"/>
      <c r="AC16" s="113"/>
    </row>
    <row r="17" spans="2:29">
      <c r="B17" s="10"/>
      <c r="C17" s="10"/>
      <c r="D17" s="10"/>
      <c r="E17" s="3"/>
      <c r="F17" s="164"/>
      <c r="G17" s="10"/>
      <c r="H17" s="10"/>
      <c r="I17" s="112"/>
      <c r="J17" s="110"/>
      <c r="K17" s="113"/>
      <c r="L17" s="112"/>
      <c r="M17" s="112"/>
      <c r="N17" s="113"/>
      <c r="O17" s="112"/>
      <c r="P17" s="112"/>
      <c r="Q17" s="113"/>
      <c r="R17" s="112"/>
      <c r="S17" s="112"/>
      <c r="T17" s="113"/>
      <c r="U17" s="112"/>
      <c r="V17" s="112"/>
      <c r="W17" s="113"/>
      <c r="X17" s="113"/>
      <c r="Y17" s="113"/>
      <c r="Z17" s="113"/>
      <c r="AA17" s="112"/>
      <c r="AB17" s="113"/>
      <c r="AC17" s="113"/>
    </row>
    <row r="18" spans="2:29">
      <c r="B18" s="252" t="s">
        <v>96</v>
      </c>
      <c r="C18" s="252"/>
      <c r="D18" s="252"/>
      <c r="E18" s="163"/>
      <c r="F18" s="162"/>
      <c r="G18" s="254" t="s">
        <v>836</v>
      </c>
      <c r="H18" s="254"/>
      <c r="I18" s="108"/>
      <c r="J18" s="109"/>
      <c r="K18" s="183" t="s">
        <v>32</v>
      </c>
      <c r="L18" s="108"/>
      <c r="M18" s="108"/>
      <c r="N18" s="183" t="s">
        <v>36</v>
      </c>
      <c r="O18" s="108"/>
      <c r="P18" s="108"/>
      <c r="Q18" s="183" t="s">
        <v>59</v>
      </c>
      <c r="R18" s="108"/>
      <c r="S18" s="108"/>
      <c r="T18" s="183" t="s">
        <v>113</v>
      </c>
      <c r="U18" s="108"/>
      <c r="V18" s="106"/>
      <c r="W18" s="246" t="s">
        <v>927</v>
      </c>
      <c r="X18" s="112"/>
      <c r="Y18" s="108"/>
      <c r="Z18" s="246" t="s">
        <v>928</v>
      </c>
      <c r="AA18" s="112"/>
      <c r="AB18" s="113"/>
      <c r="AC18" s="113"/>
    </row>
    <row r="19" spans="2:29">
      <c r="B19" s="252" t="str">
        <f>IF(B18="","",VLOOKUP(B18,表示電話番号一覧!$C:$F,4,FALSE))</f>
        <v>090-9025-2358</v>
      </c>
      <c r="C19" s="252"/>
      <c r="D19" s="252"/>
      <c r="E19" s="125"/>
      <c r="F19" s="178"/>
      <c r="G19" s="254" t="str">
        <f>IF(G18="","",VLOOKUP(G18,表示電話番号一覧!$C:$F,4,FALSE))</f>
        <v>080-3566-8951</v>
      </c>
      <c r="H19" s="254"/>
      <c r="I19" s="112"/>
      <c r="J19" s="110"/>
      <c r="K19" s="111" t="str">
        <f>IF(K18="","",VLOOKUP(K18,表示電話番号一覧!$C:$F,4,FALSE))</f>
        <v>080-3451-6474</v>
      </c>
      <c r="L19" s="112"/>
      <c r="M19" s="110"/>
      <c r="N19" s="111" t="str">
        <f>IF(N18="","",VLOOKUP(N18,表示電話番号一覧!$C:$F,4,FALSE))</f>
        <v>080-4373-7695</v>
      </c>
      <c r="O19" s="112"/>
      <c r="P19" s="112"/>
      <c r="Q19" s="111" t="str">
        <f>IF(Q18="","",VLOOKUP(Q18,表示電話番号一覧!$C:$F,4,FALSE))</f>
        <v>080-3566-8966</v>
      </c>
      <c r="R19" s="112"/>
      <c r="S19" s="112"/>
      <c r="T19" s="111" t="str">
        <f>IF(T18="","",VLOOKUP(T18,表示電話番号一覧!$C:$F,4,FALSE))</f>
        <v>070-3629-7215</v>
      </c>
      <c r="U19" s="112"/>
      <c r="V19" s="113"/>
      <c r="W19" s="111" t="str">
        <f>IF(W18="","",VLOOKUP(W18,表示電話番号一覧!$C:$F,4,FALSE))</f>
        <v>070-3661-7937</v>
      </c>
      <c r="X19" s="112"/>
      <c r="Y19" s="112"/>
      <c r="Z19" s="111" t="str">
        <f>IF(Z18="","",VLOOKUP(Z18,表示電話番号一覧!$C:$F,4,FALSE))</f>
        <v>070-4579-7534</v>
      </c>
      <c r="AA19" s="112"/>
      <c r="AB19" s="113"/>
      <c r="AC19" s="113"/>
    </row>
    <row r="20" spans="2:29">
      <c r="B20" s="182" t="s">
        <v>866</v>
      </c>
      <c r="C20" s="181"/>
      <c r="D20" s="125"/>
      <c r="E20" s="125"/>
      <c r="F20" s="164"/>
      <c r="G20" s="139" t="s">
        <v>867</v>
      </c>
      <c r="H20" s="10"/>
      <c r="I20" s="112"/>
      <c r="J20" s="110"/>
      <c r="K20" s="113"/>
      <c r="L20" s="112"/>
      <c r="M20" s="110"/>
      <c r="N20" s="113"/>
      <c r="O20" s="112"/>
      <c r="P20" s="112"/>
      <c r="Q20" s="113"/>
      <c r="R20" s="112"/>
      <c r="S20" s="112"/>
      <c r="T20" s="113"/>
      <c r="U20" s="112"/>
      <c r="V20" s="112"/>
      <c r="W20" s="113"/>
      <c r="X20" s="113"/>
      <c r="Y20" s="113"/>
      <c r="Z20" s="113"/>
      <c r="AA20" s="112"/>
      <c r="AB20" s="113"/>
      <c r="AC20" s="113"/>
    </row>
    <row r="21" spans="2:29">
      <c r="C21" s="181"/>
      <c r="D21" s="125"/>
      <c r="E21" s="125"/>
      <c r="F21" s="164"/>
      <c r="I21" s="112"/>
      <c r="J21" s="110"/>
      <c r="K21" s="113"/>
      <c r="L21" s="112"/>
      <c r="M21" s="109"/>
      <c r="N21" s="183" t="s">
        <v>43</v>
      </c>
      <c r="O21" s="108"/>
      <c r="P21" s="108"/>
      <c r="Q21" s="183" t="s">
        <v>871</v>
      </c>
      <c r="R21" s="108"/>
      <c r="S21" s="108"/>
      <c r="T21" s="183" t="s">
        <v>46</v>
      </c>
      <c r="U21" s="108"/>
      <c r="V21" s="108"/>
      <c r="W21" s="183" t="s">
        <v>86</v>
      </c>
      <c r="X21" s="109"/>
      <c r="Y21" s="106"/>
      <c r="Z21" s="183" t="s">
        <v>841</v>
      </c>
      <c r="AA21" s="112"/>
      <c r="AB21" s="113"/>
      <c r="AC21" s="113"/>
    </row>
    <row r="22" spans="2:29">
      <c r="C22" s="181"/>
      <c r="D22" s="125"/>
      <c r="E22" s="125"/>
      <c r="F22" s="164"/>
      <c r="I22" s="112"/>
      <c r="J22" s="110"/>
      <c r="K22" s="113"/>
      <c r="L22" s="112"/>
      <c r="M22" s="112"/>
      <c r="N22" s="111" t="str">
        <f>IF(N21="","",VLOOKUP(N21,表示電話番号一覧!$C:$F,4,FALSE))</f>
        <v>080-4581-1553</v>
      </c>
      <c r="O22" s="112"/>
      <c r="P22" s="112"/>
      <c r="Q22" s="111" t="str">
        <f>IF(Q21="","",VLOOKUP(Q21,表示電話番号一覧!$C:$F,4,FALSE))</f>
        <v>080-3566-8974</v>
      </c>
      <c r="R22" s="112"/>
      <c r="S22" s="112"/>
      <c r="T22" s="111" t="str">
        <f>IF(T21="","",VLOOKUP(T21,表示電話番号一覧!$C:$F,4,FALSE))</f>
        <v>080-4373-7793</v>
      </c>
      <c r="U22" s="112"/>
      <c r="V22" s="112"/>
      <c r="W22" s="111" t="str">
        <f>IF(W21="","",VLOOKUP(W21,表示電話番号一覧!$C:$F,4,FALSE))</f>
        <v>070-3541-0263</v>
      </c>
      <c r="X22" s="113"/>
      <c r="Y22" s="113"/>
      <c r="Z22" s="111" t="str">
        <f>IF(Z21="","",VLOOKUP(Z21,表示電話番号一覧!$C:$F,4,FALSE))</f>
        <v>070-3843-4639</v>
      </c>
      <c r="AA22" s="112"/>
      <c r="AB22" s="113"/>
      <c r="AC22" s="113"/>
    </row>
    <row r="23" spans="2:29">
      <c r="C23" s="181"/>
      <c r="D23" s="125"/>
      <c r="E23" s="125"/>
      <c r="F23" s="164"/>
      <c r="I23" s="112"/>
      <c r="J23" s="110"/>
      <c r="K23" s="113"/>
      <c r="L23" s="112"/>
      <c r="M23" s="112"/>
      <c r="N23" s="113"/>
      <c r="O23" s="112"/>
      <c r="P23" s="112"/>
      <c r="Q23" s="113"/>
      <c r="R23" s="112"/>
      <c r="S23" s="112"/>
      <c r="T23" s="113"/>
      <c r="U23" s="112"/>
      <c r="V23" s="112"/>
      <c r="W23" s="113"/>
      <c r="X23" s="113"/>
      <c r="Y23" s="113"/>
      <c r="Z23" s="113"/>
      <c r="AA23" s="112"/>
      <c r="AB23" s="113"/>
      <c r="AC23" s="113"/>
    </row>
    <row r="24" spans="2:29">
      <c r="B24" s="10"/>
      <c r="C24" s="181"/>
      <c r="D24" s="125"/>
      <c r="E24" s="179"/>
      <c r="F24" s="180"/>
      <c r="I24" s="112"/>
      <c r="J24" s="110"/>
      <c r="K24" s="112"/>
      <c r="L24" s="112"/>
      <c r="M24" s="108"/>
      <c r="N24" s="183" t="s">
        <v>842</v>
      </c>
      <c r="O24" s="108"/>
      <c r="P24" s="108"/>
      <c r="Q24" s="183" t="s">
        <v>20</v>
      </c>
      <c r="R24" s="108"/>
      <c r="S24" s="108"/>
      <c r="T24" s="183" t="s">
        <v>54</v>
      </c>
      <c r="U24" s="108"/>
      <c r="V24" s="108"/>
      <c r="W24" s="183" t="s">
        <v>28</v>
      </c>
      <c r="X24" s="109"/>
      <c r="Y24" s="106"/>
      <c r="Z24" s="183" t="s">
        <v>875</v>
      </c>
      <c r="AA24" s="109"/>
      <c r="AB24" s="106"/>
      <c r="AC24" s="183" t="s">
        <v>864</v>
      </c>
    </row>
    <row r="25" spans="2:29">
      <c r="B25" s="10"/>
      <c r="C25" s="181"/>
      <c r="D25" s="3"/>
      <c r="E25" s="179"/>
      <c r="F25" s="180"/>
      <c r="I25" s="112"/>
      <c r="J25" s="110"/>
      <c r="K25" s="112"/>
      <c r="L25" s="112"/>
      <c r="M25" s="114"/>
      <c r="N25" s="111" t="str">
        <f>IF(N24="","",VLOOKUP(N24,表示電話番号一覧!$C:$F,4,FALSE))</f>
        <v>070-2165-7714</v>
      </c>
      <c r="O25" s="112"/>
      <c r="P25" s="112"/>
      <c r="Q25" s="111" t="str">
        <f>IF(Q24="","",VLOOKUP(Q24,表示電話番号一覧!$C:$F,4,FALSE))</f>
        <v>080-3566-8978</v>
      </c>
      <c r="R25" s="112"/>
      <c r="S25" s="112"/>
      <c r="T25" s="111" t="str">
        <f>IF(T24="","",VLOOKUP(T24,表示電話番号一覧!$C:$F,4,FALSE))</f>
        <v>070-4201-6852</v>
      </c>
      <c r="U25" s="112"/>
      <c r="V25" s="112"/>
      <c r="W25" s="111" t="str">
        <f>IF(W24="","",VLOOKUP(W24,表示電話番号一覧!$C:$F,4,FALSE))</f>
        <v>090-2402-7362</v>
      </c>
      <c r="X25" s="113"/>
      <c r="Y25" s="113"/>
      <c r="Z25" s="111" t="str">
        <f>IF(Z24="","",VLOOKUP(Z24,表示電話番号一覧!$C:$F,4,FALSE))</f>
        <v>090-6950-1788</v>
      </c>
      <c r="AA25" s="112"/>
      <c r="AB25" s="113"/>
      <c r="AC25" s="111" t="str">
        <f>IF(AC24="","",VLOOKUP(AC24,表示電話番号一覧!$C:$F,4,FALSE))</f>
        <v>090-1047-0938</v>
      </c>
    </row>
    <row r="26" spans="2:29">
      <c r="B26" s="10"/>
      <c r="C26" s="181"/>
      <c r="D26" s="3"/>
      <c r="E26" s="3"/>
      <c r="F26" s="164"/>
      <c r="I26" s="112"/>
      <c r="J26" s="110"/>
      <c r="K26" s="113"/>
      <c r="L26" s="112"/>
      <c r="M26" s="110"/>
      <c r="N26" s="113"/>
      <c r="O26" s="112"/>
      <c r="P26" s="112"/>
      <c r="Q26" s="113"/>
      <c r="R26" s="112"/>
      <c r="S26" s="112"/>
      <c r="T26" s="113"/>
      <c r="U26" s="112"/>
      <c r="V26" s="112"/>
      <c r="W26" s="113"/>
      <c r="X26" s="113"/>
      <c r="Y26" s="113"/>
      <c r="Z26" s="113"/>
      <c r="AA26" s="112"/>
      <c r="AB26" s="113"/>
      <c r="AC26" s="113"/>
    </row>
    <row r="27" spans="2:29">
      <c r="B27" s="10"/>
      <c r="C27" s="181"/>
      <c r="D27" s="3"/>
      <c r="E27" s="3"/>
      <c r="F27" s="164"/>
      <c r="I27" s="112"/>
      <c r="J27" s="109"/>
      <c r="K27" s="183" t="s">
        <v>29</v>
      </c>
      <c r="L27" s="108"/>
      <c r="M27" s="111"/>
      <c r="N27" s="183" t="s">
        <v>849</v>
      </c>
      <c r="O27" s="109"/>
      <c r="P27" s="108"/>
      <c r="Q27" s="183" t="s">
        <v>844</v>
      </c>
      <c r="R27" s="110"/>
      <c r="S27" s="112"/>
      <c r="T27" s="112"/>
      <c r="U27" s="112"/>
      <c r="V27" s="112"/>
      <c r="W27" s="112"/>
      <c r="X27" s="112"/>
      <c r="Y27" s="112"/>
      <c r="Z27" s="112"/>
      <c r="AA27" s="112"/>
      <c r="AB27" s="113"/>
      <c r="AC27" s="113"/>
    </row>
    <row r="28" spans="2:29">
      <c r="B28" s="10"/>
      <c r="C28" s="181"/>
      <c r="D28" s="3"/>
      <c r="E28" s="3"/>
      <c r="F28" s="164"/>
      <c r="I28" s="112"/>
      <c r="J28" s="114"/>
      <c r="K28" s="111" t="str">
        <f>IF(K27="","",VLOOKUP(K27,表示電話番号一覧!$C:$F,4,FALSE))</f>
        <v>090-6033-7021</v>
      </c>
      <c r="L28" s="112"/>
      <c r="M28" s="112"/>
      <c r="N28" s="111" t="str">
        <f>IF(N27="","",VLOOKUP(N27,表示電話番号一覧!$C:$F,4,FALSE))</f>
        <v>080-3566-8958</v>
      </c>
      <c r="O28" s="112"/>
      <c r="P28" s="138"/>
      <c r="Q28" s="111" t="str">
        <f>IF(Q27="","",VLOOKUP(Q27,表示電話番号一覧!$C:$F,4,FALSE))</f>
        <v>080-3446-7228</v>
      </c>
      <c r="R28" s="112"/>
      <c r="S28" s="112"/>
      <c r="T28" s="112"/>
      <c r="U28" s="112"/>
      <c r="V28" s="112"/>
      <c r="W28" s="112"/>
      <c r="X28" s="112"/>
      <c r="Y28" s="112"/>
      <c r="Z28" s="112" t="str">
        <f>IF(Z27="","",VLOOKUP(Z27,表示電話番号一覧!$C:$F,4,FALSE))</f>
        <v/>
      </c>
      <c r="AA28" s="112"/>
      <c r="AB28" s="113"/>
      <c r="AC28" s="113"/>
    </row>
    <row r="29" spans="2:29">
      <c r="B29" s="10"/>
      <c r="C29" s="181"/>
      <c r="D29" s="3"/>
      <c r="E29" s="3"/>
      <c r="F29" s="164"/>
      <c r="I29" s="113"/>
      <c r="J29" s="110"/>
      <c r="K29" s="113"/>
      <c r="L29" s="112"/>
      <c r="M29" s="112"/>
      <c r="N29" s="113"/>
      <c r="O29" s="112"/>
      <c r="P29" s="110"/>
      <c r="Q29" s="113"/>
      <c r="R29" s="112"/>
      <c r="S29" s="112"/>
      <c r="T29" s="113"/>
      <c r="U29" s="112"/>
      <c r="V29" s="112"/>
      <c r="W29" s="113"/>
      <c r="X29" s="112"/>
      <c r="Y29" s="112"/>
      <c r="Z29" s="113"/>
      <c r="AA29" s="112"/>
      <c r="AB29" s="113"/>
      <c r="AC29" s="113"/>
    </row>
    <row r="30" spans="2:29">
      <c r="B30" s="10"/>
      <c r="C30" s="181"/>
      <c r="D30" s="3"/>
      <c r="E30" s="3"/>
      <c r="F30" s="164"/>
      <c r="I30" s="113"/>
      <c r="J30" s="110"/>
      <c r="K30" s="113"/>
      <c r="L30" s="112"/>
      <c r="M30" s="112"/>
      <c r="N30" s="112"/>
      <c r="O30" s="187"/>
      <c r="P30" s="109"/>
      <c r="Q30" s="183" t="s">
        <v>845</v>
      </c>
      <c r="R30" s="108"/>
      <c r="S30" s="108"/>
      <c r="T30" s="183" t="s">
        <v>846</v>
      </c>
      <c r="U30" s="108"/>
      <c r="V30" s="108"/>
      <c r="W30" s="183" t="s">
        <v>843</v>
      </c>
      <c r="X30" s="109"/>
      <c r="Y30" s="106"/>
      <c r="Z30" s="183" t="s">
        <v>848</v>
      </c>
      <c r="AA30" s="110"/>
      <c r="AB30" s="113"/>
      <c r="AC30" s="113"/>
    </row>
    <row r="31" spans="2:29">
      <c r="B31" s="10"/>
      <c r="C31" s="181"/>
      <c r="D31" s="3"/>
      <c r="E31" s="3"/>
      <c r="F31" s="164"/>
      <c r="I31" s="113"/>
      <c r="J31" s="110"/>
      <c r="K31" s="113"/>
      <c r="L31" s="112"/>
      <c r="M31" s="112"/>
      <c r="N31" s="112"/>
      <c r="O31" s="187"/>
      <c r="P31" s="114"/>
      <c r="Q31" s="111" t="str">
        <f>IF(Q30="","",VLOOKUP(Q30,表示電話番号一覧!$C:$F,4,FALSE))</f>
        <v>070-3601-5755</v>
      </c>
      <c r="R31" s="112"/>
      <c r="S31" s="112"/>
      <c r="T31" s="111" t="str">
        <f>IF(T30="","",VLOOKUP(T30,表示電話番号一覧!$C:$F,4,FALSE))</f>
        <v>070-3609-3812</v>
      </c>
      <c r="U31" s="112"/>
      <c r="V31" s="112"/>
      <c r="W31" s="111" t="str">
        <f>IF(W30="","",VLOOKUP(W30,表示電話番号一覧!$C:$F,4,FALSE))</f>
        <v>080-3566-8955</v>
      </c>
      <c r="X31" s="112"/>
      <c r="Y31" s="112"/>
      <c r="Z31" s="111" t="str">
        <f>IF(Z30="","",VLOOKUP(Z30,表示電話番号一覧!$C:$F,4,FALSE))</f>
        <v>080-4106-8296</v>
      </c>
      <c r="AA31" s="112"/>
      <c r="AB31" s="113"/>
      <c r="AC31" s="113"/>
    </row>
    <row r="32" spans="2:29">
      <c r="B32" s="10"/>
      <c r="C32" s="181"/>
      <c r="D32" s="3"/>
      <c r="E32" s="3"/>
      <c r="F32" s="164"/>
      <c r="I32" s="113"/>
      <c r="J32" s="110"/>
      <c r="K32" s="113" t="s">
        <v>892</v>
      </c>
      <c r="L32" s="113"/>
      <c r="M32" s="113"/>
      <c r="N32" s="113"/>
      <c r="O32" s="112"/>
      <c r="P32" s="110"/>
      <c r="Q32" s="113"/>
      <c r="R32" s="112"/>
      <c r="S32" s="112"/>
      <c r="T32" s="113"/>
      <c r="U32" s="112"/>
      <c r="V32" s="112"/>
      <c r="W32" s="113"/>
      <c r="X32" s="113"/>
      <c r="Y32" s="113"/>
      <c r="Z32" s="113"/>
      <c r="AA32" s="112"/>
      <c r="AB32" s="113"/>
      <c r="AC32" s="113"/>
    </row>
    <row r="33" spans="2:32">
      <c r="B33" s="10"/>
      <c r="C33" s="181"/>
      <c r="D33" s="3"/>
      <c r="E33" s="3"/>
      <c r="F33" s="164"/>
      <c r="I33" s="112"/>
      <c r="J33" s="109"/>
      <c r="K33" s="183" t="s">
        <v>894</v>
      </c>
      <c r="L33" s="112"/>
      <c r="M33" s="112"/>
      <c r="N33" s="113"/>
      <c r="O33" s="113"/>
      <c r="P33" s="111"/>
      <c r="Q33" s="115" t="s">
        <v>94</v>
      </c>
      <c r="R33" s="108"/>
      <c r="S33" s="108"/>
      <c r="T33" s="183" t="s">
        <v>872</v>
      </c>
      <c r="U33" s="112"/>
      <c r="V33" s="112"/>
      <c r="W33" s="113"/>
      <c r="X33" s="112"/>
      <c r="Y33" s="112"/>
      <c r="Z33" s="112"/>
      <c r="AA33" s="112"/>
      <c r="AB33" s="113"/>
      <c r="AC33" s="113"/>
    </row>
    <row r="34" spans="2:32">
      <c r="B34" s="10"/>
      <c r="C34" s="181"/>
      <c r="D34" s="3"/>
      <c r="E34" s="3"/>
      <c r="F34" s="164"/>
      <c r="I34" s="112"/>
      <c r="J34" s="112"/>
      <c r="K34" s="111" t="str">
        <f>IF(K33="","",VLOOKUP(K33,表示電話番号一覧!$C:$F,4,FALSE))</f>
        <v>080-3566-8957</v>
      </c>
      <c r="L34" s="112"/>
      <c r="M34" s="112"/>
      <c r="N34" s="113"/>
      <c r="O34" s="113"/>
      <c r="P34" s="113"/>
      <c r="Q34" s="111" t="str">
        <f>IF(Q33="","",VLOOKUP(Q33,表示電話番号一覧!$C:$F,4,FALSE))</f>
        <v>070-3533-7393</v>
      </c>
      <c r="R34" s="112"/>
      <c r="S34" s="112"/>
      <c r="T34" s="111" t="s">
        <v>873</v>
      </c>
      <c r="U34" s="112"/>
      <c r="V34" s="112"/>
      <c r="W34" s="113"/>
      <c r="X34" s="112"/>
      <c r="Y34" s="112"/>
      <c r="Z34" s="112"/>
      <c r="AA34" s="112"/>
      <c r="AB34" s="113"/>
      <c r="AC34" s="113"/>
    </row>
    <row r="35" spans="2:32">
      <c r="B35" s="10"/>
      <c r="C35" s="181"/>
      <c r="D35" s="3"/>
      <c r="E35" s="3"/>
      <c r="F35" s="164"/>
      <c r="K35" s="10"/>
      <c r="N35" s="10"/>
      <c r="Q35" s="10"/>
      <c r="T35" s="10"/>
      <c r="W35" s="10"/>
      <c r="Z35" s="10"/>
    </row>
    <row r="36" spans="2:32">
      <c r="B36" s="10"/>
      <c r="C36" s="181"/>
      <c r="D36" s="125"/>
      <c r="E36" s="3"/>
      <c r="F36" s="164"/>
      <c r="I36" s="168"/>
      <c r="J36" s="169"/>
      <c r="K36" s="185" t="s">
        <v>139</v>
      </c>
      <c r="L36" s="169"/>
      <c r="M36" s="171"/>
      <c r="N36" s="185" t="s">
        <v>878</v>
      </c>
      <c r="O36" s="169"/>
      <c r="P36" s="169"/>
      <c r="Q36" s="185" t="s">
        <v>890</v>
      </c>
      <c r="R36" s="173"/>
      <c r="S36" s="168"/>
      <c r="T36" s="168"/>
      <c r="U36" s="168"/>
      <c r="V36" s="168"/>
      <c r="W36" s="168"/>
      <c r="X36" s="168"/>
      <c r="Y36" s="168"/>
      <c r="Z36" s="168"/>
      <c r="AA36" s="168"/>
      <c r="AB36" s="175"/>
      <c r="AC36" s="175"/>
    </row>
    <row r="37" spans="2:32">
      <c r="B37" s="10"/>
      <c r="C37" s="181"/>
      <c r="D37" s="125"/>
      <c r="E37" s="125"/>
      <c r="F37" s="164"/>
      <c r="I37" s="168"/>
      <c r="J37" s="173"/>
      <c r="K37" s="174" t="str">
        <f>IF(K36="","",VLOOKUP(K36,表示電話番号一覧!$C:$F,4,FALSE))</f>
        <v>080-9819-8256</v>
      </c>
      <c r="L37" s="168"/>
      <c r="M37" s="168"/>
      <c r="N37" s="174" t="str">
        <f>IF(N36="","",VLOOKUP(N36,表示電話番号一覧!$C:$F,4,FALSE))</f>
        <v>080-5190-8426</v>
      </c>
      <c r="O37" s="168"/>
      <c r="P37" s="168"/>
      <c r="Q37" s="174" t="str">
        <f>IF(Q36="","",VLOOKUP(Q36,表示電話番号一覧!$C:$F,4,FALSE))</f>
        <v>080-4083-8534</v>
      </c>
      <c r="R37" s="173"/>
      <c r="S37" s="168"/>
      <c r="T37" s="168"/>
      <c r="U37" s="168"/>
      <c r="V37" s="168"/>
      <c r="W37" s="168" t="str">
        <f>IF(W36="","",VLOOKUP(W36,表示電話番号一覧!$C:$F,4,FALSE))</f>
        <v/>
      </c>
      <c r="X37" s="175"/>
      <c r="Y37" s="175"/>
      <c r="Z37" s="175"/>
      <c r="AA37" s="168"/>
      <c r="AB37" s="175"/>
      <c r="AC37" s="175"/>
    </row>
    <row r="38" spans="2:32">
      <c r="B38" s="10"/>
      <c r="C38" s="181"/>
      <c r="D38" s="125"/>
      <c r="E38" s="125"/>
      <c r="F38" s="164"/>
      <c r="G38" s="10"/>
      <c r="H38" s="10"/>
      <c r="I38" s="168"/>
      <c r="J38" s="173"/>
      <c r="K38" s="175"/>
      <c r="L38" s="168"/>
      <c r="M38" s="168"/>
      <c r="N38" s="175"/>
      <c r="O38" s="168"/>
      <c r="P38" s="168"/>
      <c r="Q38" s="175"/>
      <c r="R38" s="168"/>
      <c r="S38" s="168"/>
      <c r="T38" s="175"/>
      <c r="U38" s="168"/>
      <c r="V38" s="168"/>
      <c r="W38" s="175"/>
      <c r="X38" s="175"/>
      <c r="Y38" s="175"/>
      <c r="Z38" s="175"/>
      <c r="AA38" s="168"/>
      <c r="AB38" s="175"/>
      <c r="AC38" s="175"/>
    </row>
    <row r="39" spans="2:32">
      <c r="B39" s="10"/>
      <c r="C39" s="181"/>
      <c r="D39" s="125"/>
      <c r="E39" s="125"/>
      <c r="F39" s="165"/>
      <c r="G39" s="251" t="s">
        <v>860</v>
      </c>
      <c r="H39" s="251"/>
      <c r="I39" s="174"/>
      <c r="J39" s="172"/>
      <c r="K39" s="185" t="s">
        <v>104</v>
      </c>
      <c r="L39" s="169"/>
      <c r="M39" s="171"/>
      <c r="N39" s="185" t="s">
        <v>853</v>
      </c>
      <c r="O39" s="169"/>
      <c r="P39" s="169"/>
      <c r="Q39" s="185" t="s">
        <v>854</v>
      </c>
      <c r="R39" s="169"/>
      <c r="S39" s="169"/>
      <c r="T39" s="185" t="s">
        <v>858</v>
      </c>
      <c r="U39" s="169"/>
      <c r="V39" s="169"/>
      <c r="W39" s="185" t="s">
        <v>855</v>
      </c>
      <c r="X39" s="172"/>
      <c r="Y39" s="171"/>
      <c r="Z39" s="185" t="s">
        <v>862</v>
      </c>
      <c r="AA39" s="168"/>
      <c r="AB39" s="175"/>
      <c r="AC39" s="175"/>
    </row>
    <row r="40" spans="2:32">
      <c r="B40" s="10"/>
      <c r="C40" s="181"/>
      <c r="D40" s="125"/>
      <c r="E40" s="125"/>
      <c r="F40" s="125"/>
      <c r="G40" s="251" t="str">
        <f>IF(G39="","",VLOOKUP(G39,表示電話番号一覧!$C:$F,4,FALSE))</f>
        <v>080-4905-6111</v>
      </c>
      <c r="H40" s="251"/>
      <c r="I40" s="168"/>
      <c r="J40" s="173"/>
      <c r="K40" s="174" t="str">
        <f>IF(K39="","",VLOOKUP(K39,表示電話番号一覧!$C:$F,4,FALSE))</f>
        <v>090-4241-0567</v>
      </c>
      <c r="L40" s="168"/>
      <c r="M40" s="168"/>
      <c r="N40" s="185" t="str">
        <f>IF(N39="","",VLOOKUP(N39,表示電話番号一覧!$C:$F,4,FALSE))</f>
        <v>090-4855-2641</v>
      </c>
      <c r="O40" s="168"/>
      <c r="P40" s="168"/>
      <c r="Q40" s="174" t="str">
        <f>IF(Q39="","",VLOOKUP(Q39,表示電話番号一覧!$C:$F,4,FALSE))</f>
        <v>090-4938-1866</v>
      </c>
      <c r="R40" s="168"/>
      <c r="S40" s="168"/>
      <c r="T40" s="174" t="str">
        <f>IF(T39="","",VLOOKUP(T39,表示電話番号一覧!$C:$F,4,FALSE))</f>
        <v>080-2053-5731</v>
      </c>
      <c r="U40" s="168"/>
      <c r="V40" s="168"/>
      <c r="W40" s="174" t="str">
        <f>IF(W39="","",VLOOKUP(W39,表示電話番号一覧!$C:$F,4,FALSE))</f>
        <v>090-9855-5534</v>
      </c>
      <c r="X40" s="175"/>
      <c r="Y40" s="175"/>
      <c r="Z40" s="174" t="str">
        <f>IF(Z39="","",VLOOKUP(Z39,表示電話番号一覧!$C:$F,4,FALSE))</f>
        <v>080-2333-4494</v>
      </c>
      <c r="AA40" s="168"/>
      <c r="AB40" s="175"/>
      <c r="AC40" s="175"/>
    </row>
    <row r="41" spans="2:32">
      <c r="B41" s="10"/>
      <c r="C41" s="181"/>
      <c r="D41" s="125"/>
      <c r="E41" s="10"/>
      <c r="F41" s="10"/>
      <c r="G41" s="188" t="s">
        <v>897</v>
      </c>
      <c r="I41" s="168"/>
      <c r="J41" s="173"/>
      <c r="K41" s="175"/>
      <c r="L41" s="168"/>
      <c r="M41" s="168"/>
      <c r="N41" s="175"/>
      <c r="O41" s="168"/>
      <c r="P41" s="168"/>
      <c r="Q41" s="175"/>
      <c r="R41" s="168"/>
      <c r="S41" s="168"/>
      <c r="T41" s="175"/>
      <c r="U41" s="168"/>
      <c r="V41" s="168"/>
      <c r="W41" s="175"/>
      <c r="X41" s="175"/>
      <c r="Y41" s="175"/>
      <c r="Z41" s="175"/>
      <c r="AA41" s="168"/>
      <c r="AB41" s="175"/>
      <c r="AC41" s="175"/>
    </row>
    <row r="42" spans="2:32">
      <c r="B42" s="10"/>
      <c r="C42" s="181"/>
      <c r="D42" s="125"/>
      <c r="E42" s="4"/>
      <c r="F42" s="5"/>
      <c r="I42" s="168"/>
      <c r="J42" s="172"/>
      <c r="K42" s="185" t="s">
        <v>857</v>
      </c>
      <c r="L42" s="169"/>
      <c r="M42" s="171"/>
      <c r="N42" s="185" t="s">
        <v>932</v>
      </c>
      <c r="O42" s="169"/>
      <c r="P42" s="169"/>
      <c r="Q42" s="185" t="s">
        <v>847</v>
      </c>
      <c r="R42" s="169"/>
      <c r="S42" s="169"/>
      <c r="T42" s="185" t="s">
        <v>850</v>
      </c>
      <c r="U42" s="169"/>
      <c r="V42" s="169"/>
      <c r="W42" s="185" t="s">
        <v>859</v>
      </c>
      <c r="X42" s="175"/>
      <c r="Y42" s="175"/>
      <c r="Z42" s="175"/>
      <c r="AA42" s="168"/>
      <c r="AB42" s="175"/>
      <c r="AC42" s="175"/>
    </row>
    <row r="43" spans="2:32">
      <c r="B43" s="10"/>
      <c r="C43" s="181"/>
      <c r="D43" s="3"/>
      <c r="I43" s="168"/>
      <c r="J43" s="176"/>
      <c r="K43" s="174" t="s">
        <v>887</v>
      </c>
      <c r="L43" s="168"/>
      <c r="M43" s="177"/>
      <c r="N43" s="185" t="str">
        <f>IF(N42="","",VLOOKUP(N42,表示電話番号一覧!$C:$F,4,FALSE))</f>
        <v>080-3936-6183</v>
      </c>
      <c r="O43" s="168"/>
      <c r="P43" s="168"/>
      <c r="Q43" s="174" t="str">
        <f>IF(Q42="","",VLOOKUP(Q42,表示電話番号一覧!$C:$F,4,FALSE))</f>
        <v>080-3566-8975</v>
      </c>
      <c r="R43" s="168"/>
      <c r="S43" s="175"/>
      <c r="T43" s="174" t="str">
        <f>IF(T42="","",VLOOKUP(T42,表示電話番号一覧!$C:$F,4,FALSE))</f>
        <v>080-4373-8694</v>
      </c>
      <c r="U43" s="175"/>
      <c r="V43" s="175"/>
      <c r="W43" s="174" t="s">
        <v>882</v>
      </c>
      <c r="X43" s="175"/>
      <c r="Y43" s="175"/>
      <c r="Z43" s="175"/>
      <c r="AA43" s="168"/>
      <c r="AB43" s="175"/>
      <c r="AC43" s="175"/>
    </row>
    <row r="44" spans="2:32">
      <c r="B44" s="10"/>
      <c r="C44" s="181"/>
      <c r="D44" s="3"/>
      <c r="I44" s="125"/>
      <c r="J44" s="164"/>
      <c r="K44" s="141"/>
      <c r="L44" s="3"/>
      <c r="M44" s="125"/>
      <c r="N44" s="125"/>
      <c r="O44" s="3"/>
      <c r="P44" s="125"/>
      <c r="Q44" s="125"/>
      <c r="R44" s="3"/>
      <c r="S44" s="125"/>
      <c r="T44" s="125"/>
      <c r="U44" s="3"/>
      <c r="V44" s="125"/>
      <c r="W44" s="125"/>
      <c r="X44" s="3"/>
      <c r="Y44" s="3"/>
      <c r="Z44" s="3"/>
      <c r="AA44" s="125"/>
      <c r="AB44" s="3"/>
      <c r="AC44" s="3"/>
    </row>
    <row r="45" spans="2:32">
      <c r="B45" s="10"/>
      <c r="C45" s="181"/>
      <c r="D45" s="3"/>
      <c r="I45" s="130"/>
      <c r="J45" s="126"/>
      <c r="K45" s="127" t="s">
        <v>19</v>
      </c>
      <c r="L45" s="128"/>
      <c r="M45" s="128"/>
      <c r="N45" s="127" t="s">
        <v>105</v>
      </c>
      <c r="O45" s="128"/>
      <c r="P45" s="128"/>
      <c r="Q45" s="127" t="s">
        <v>881</v>
      </c>
      <c r="R45" s="128"/>
      <c r="S45" s="128"/>
      <c r="T45" s="127" t="s">
        <v>903</v>
      </c>
      <c r="U45" s="128"/>
      <c r="V45" s="128"/>
      <c r="W45" s="127" t="s">
        <v>923</v>
      </c>
      <c r="X45" s="132"/>
      <c r="Y45" s="132"/>
      <c r="Z45" s="3"/>
      <c r="AA45" s="3"/>
      <c r="AB45" s="3"/>
      <c r="AC45" s="3"/>
    </row>
    <row r="46" spans="2:32">
      <c r="B46" s="10"/>
      <c r="C46" s="181"/>
      <c r="D46" s="3"/>
      <c r="I46" s="130"/>
      <c r="J46" s="130"/>
      <c r="K46" s="131" t="str">
        <f>IF(K45="","",VLOOKUP(K45,表示電話番号一覧!$C:$F,4,FALSE))</f>
        <v>080-3566-8956</v>
      </c>
      <c r="L46" s="130"/>
      <c r="M46" s="158"/>
      <c r="N46" s="131" t="str">
        <f>IF(N45="","",VLOOKUP(N45,表示電話番号一覧!$C:$F,4,FALSE))</f>
        <v>070-3547-4367</v>
      </c>
      <c r="O46" s="130"/>
      <c r="P46" s="130"/>
      <c r="Q46" s="131" t="str">
        <f>IF(Q45="","",VLOOKUP(Q45,表示電話番号一覧!$C:$F,4,FALSE))</f>
        <v>070-3533-7394</v>
      </c>
      <c r="R46" s="130"/>
      <c r="S46" s="130"/>
      <c r="T46" s="131" t="str">
        <f>IF(T45="","",VLOOKUP(T45,表示電話番号一覧!$C:$F,4,FALSE))</f>
        <v>080-9640-2656</v>
      </c>
      <c r="U46" s="132"/>
      <c r="V46" s="132"/>
      <c r="W46" s="131" t="str">
        <f>IF(W45="","",VLOOKUP(W45,表示電話番号一覧!$C:$F,4,FALSE))</f>
        <v>070-3852-1867</v>
      </c>
      <c r="X46" s="132"/>
      <c r="Y46" s="132"/>
      <c r="Z46" s="3"/>
      <c r="AA46" s="3"/>
      <c r="AB46" s="3"/>
      <c r="AC46" s="3"/>
    </row>
    <row r="47" spans="2:32">
      <c r="B47" s="10"/>
      <c r="C47" s="181"/>
      <c r="D47" s="3"/>
      <c r="I47" s="130"/>
      <c r="J47" s="130"/>
      <c r="K47" s="130"/>
      <c r="L47" s="130"/>
      <c r="M47" s="143"/>
      <c r="N47" s="130"/>
      <c r="O47" s="130"/>
      <c r="P47" s="130"/>
      <c r="Q47" s="130"/>
      <c r="R47" s="130"/>
      <c r="S47" s="130"/>
      <c r="T47" s="130"/>
      <c r="U47" s="132"/>
      <c r="V47" s="132"/>
      <c r="W47" s="130"/>
      <c r="X47" s="132"/>
      <c r="Y47" s="132"/>
      <c r="Z47" s="166"/>
      <c r="AA47" s="167"/>
      <c r="AB47" s="167"/>
      <c r="AC47" s="166"/>
      <c r="AD47" s="132"/>
      <c r="AE47" s="132"/>
      <c r="AF47" s="130"/>
    </row>
    <row r="48" spans="2:32">
      <c r="B48" s="10"/>
      <c r="C48" s="181"/>
      <c r="D48" s="3"/>
      <c r="I48" s="130"/>
      <c r="J48" s="130"/>
      <c r="K48" s="130"/>
      <c r="L48" s="130"/>
      <c r="M48" s="126"/>
      <c r="N48" s="127" t="s">
        <v>941</v>
      </c>
      <c r="O48" s="126"/>
      <c r="P48" s="129"/>
      <c r="Q48" s="127" t="s">
        <v>891</v>
      </c>
      <c r="R48" s="126"/>
      <c r="S48" s="129"/>
      <c r="T48" s="153" t="s">
        <v>884</v>
      </c>
      <c r="U48" s="154"/>
      <c r="V48" s="155"/>
      <c r="W48" s="153" t="s">
        <v>885</v>
      </c>
      <c r="X48" s="154"/>
      <c r="Y48" s="155"/>
      <c r="Z48" s="221" t="s">
        <v>917</v>
      </c>
      <c r="AA48" s="167"/>
      <c r="AB48" s="167"/>
      <c r="AC48" s="166"/>
      <c r="AD48" s="132"/>
      <c r="AE48" s="132"/>
      <c r="AF48" s="130"/>
    </row>
    <row r="49" spans="2:32">
      <c r="B49" s="10"/>
      <c r="C49" s="181"/>
      <c r="D49" s="3"/>
      <c r="I49" s="130"/>
      <c r="J49" s="130"/>
      <c r="K49" s="130"/>
      <c r="L49" s="130"/>
      <c r="M49" s="130"/>
      <c r="N49" s="131" t="str">
        <f>IF(N48="","",VLOOKUP(N48,表示電話番号一覧!$C:$F,4,FALSE))</f>
        <v>070-3868-5523</v>
      </c>
      <c r="O49" s="132"/>
      <c r="P49" s="132"/>
      <c r="Q49" s="131" t="str">
        <f>IF(Q48="","",VLOOKUP(Q48,表示電話番号一覧!$C:$F,4,FALSE))</f>
        <v>070-3836-5522</v>
      </c>
      <c r="R49" s="132"/>
      <c r="S49" s="132"/>
      <c r="T49" s="131" t="str">
        <f>IF(T48="","",VLOOKUP(T48,表示電話番号一覧!$C:$F,4,FALSE))</f>
        <v>070-3862-8149</v>
      </c>
      <c r="U49" s="157"/>
      <c r="V49" s="157"/>
      <c r="W49" s="131" t="str">
        <f>IF(W48="","",VLOOKUP(W48,表示電話番号一覧!$C:$F,4,FALSE))</f>
        <v>080-3566-8953</v>
      </c>
      <c r="X49" s="157"/>
      <c r="Y49" s="157"/>
      <c r="Z49" s="131" t="str">
        <f>IF(Z48="","",VLOOKUP(Z48,表示電話番号一覧!$C:$F,4,FALSE))</f>
        <v>070-3872-7701</v>
      </c>
      <c r="AA49" s="167"/>
      <c r="AB49" s="167"/>
      <c r="AC49" s="166"/>
      <c r="AD49" s="132"/>
      <c r="AE49" s="132"/>
      <c r="AF49" s="130"/>
    </row>
    <row r="50" spans="2:32">
      <c r="B50" s="10"/>
      <c r="C50" s="181"/>
      <c r="D50" s="3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3"/>
      <c r="V50" s="3"/>
      <c r="W50" s="125"/>
      <c r="X50" s="3"/>
      <c r="Y50" s="3"/>
      <c r="Z50" s="166"/>
      <c r="AA50" s="167"/>
      <c r="AB50" s="167"/>
      <c r="AC50" s="166"/>
      <c r="AD50" s="132"/>
      <c r="AE50" s="132"/>
      <c r="AF50" s="130"/>
    </row>
    <row r="51" spans="2:32">
      <c r="B51" s="252" t="s">
        <v>102</v>
      </c>
      <c r="C51" s="252"/>
      <c r="D51" s="252"/>
      <c r="E51" s="252"/>
      <c r="F51" s="252"/>
      <c r="G51" s="252"/>
      <c r="I51" s="4" t="s">
        <v>110</v>
      </c>
      <c r="J51" s="144"/>
      <c r="N51" s="10"/>
      <c r="Q51" s="10"/>
      <c r="T51" s="10"/>
      <c r="W51" s="10"/>
      <c r="Z51" s="10"/>
    </row>
    <row r="52" spans="2:32">
      <c r="B52" s="252" t="s">
        <v>103</v>
      </c>
      <c r="C52" s="252"/>
      <c r="D52" s="252"/>
      <c r="E52" s="252"/>
      <c r="F52" s="252"/>
      <c r="G52" s="252"/>
      <c r="I52" s="145" t="s">
        <v>111</v>
      </c>
      <c r="J52" s="144"/>
      <c r="N52" s="10"/>
      <c r="Q52" s="10"/>
      <c r="T52" s="10"/>
      <c r="W52" s="10"/>
      <c r="Z52" s="10"/>
    </row>
    <row r="53" spans="2:32">
      <c r="I53" s="145" t="s">
        <v>107</v>
      </c>
      <c r="J53" s="144"/>
      <c r="N53" s="10"/>
      <c r="Q53" s="10"/>
      <c r="T53" s="10"/>
      <c r="W53" s="10"/>
      <c r="Z53" s="10"/>
    </row>
  </sheetData>
  <mergeCells count="10">
    <mergeCell ref="G39:H39"/>
    <mergeCell ref="G40:H40"/>
    <mergeCell ref="B51:G51"/>
    <mergeCell ref="B52:G52"/>
    <mergeCell ref="G3:H3"/>
    <mergeCell ref="G4:H4"/>
    <mergeCell ref="B18:D18"/>
    <mergeCell ref="G18:H18"/>
    <mergeCell ref="B19:D19"/>
    <mergeCell ref="G19:H19"/>
  </mergeCells>
  <phoneticPr fontId="18"/>
  <hyperlinks>
    <hyperlink ref="G41" r:id="rId1"/>
  </hyperlinks>
  <pageMargins left="0.15748031496062992" right="0.15748031496062992" top="0.35433070866141736" bottom="0.15748031496062992" header="0.31496062992125984" footer="0.15748031496062992"/>
  <pageSetup paperSize="9" scale="85" orientation="landscape" r:id="rId2"/>
  <headerFooter>
    <oddHeader>&amp;C&amp;"-,太字"&amp;16エムエムインターナショナル　連絡網</oddHead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zoomScale="85" zoomScaleNormal="85" workbookViewId="0">
      <selection activeCell="B15" sqref="B15:B16"/>
    </sheetView>
  </sheetViews>
  <sheetFormatPr defaultColWidth="9" defaultRowHeight="29.25" customHeight="1"/>
  <cols>
    <col min="1" max="1" width="20.5" style="213" customWidth="1"/>
    <col min="2" max="2" width="42.75" style="213" customWidth="1"/>
    <col min="3" max="3" width="17.375" style="215" customWidth="1"/>
    <col min="4" max="4" width="5" style="216" customWidth="1"/>
    <col min="5" max="5" width="16.875" style="216" customWidth="1"/>
    <col min="6" max="6" width="23.5" style="217" customWidth="1"/>
    <col min="7" max="7" width="13.625" style="217" customWidth="1"/>
    <col min="8" max="12" width="13.625" style="216" customWidth="1"/>
    <col min="13" max="16384" width="9" style="9"/>
  </cols>
  <sheetData>
    <row r="1" spans="1:12" ht="29.25" customHeight="1" thickBot="1">
      <c r="B1" s="214" t="s">
        <v>135</v>
      </c>
    </row>
    <row r="2" spans="1:12" s="8" customFormat="1" ht="29.25" customHeight="1" thickBot="1">
      <c r="A2" s="238" t="s">
        <v>120</v>
      </c>
      <c r="B2" s="239" t="s">
        <v>121</v>
      </c>
      <c r="C2" s="239" t="s">
        <v>122</v>
      </c>
      <c r="D2" s="263" t="s">
        <v>123</v>
      </c>
      <c r="E2" s="263"/>
      <c r="F2" s="240" t="s">
        <v>122</v>
      </c>
      <c r="G2" s="260" t="s">
        <v>904</v>
      </c>
      <c r="H2" s="261"/>
      <c r="I2" s="261"/>
      <c r="J2" s="261"/>
      <c r="K2" s="261"/>
      <c r="L2" s="262"/>
    </row>
    <row r="3" spans="1:12" ht="29.25" customHeight="1">
      <c r="A3" s="255" t="s">
        <v>118</v>
      </c>
      <c r="B3" s="257" t="s">
        <v>119</v>
      </c>
      <c r="C3" s="257" t="s">
        <v>130</v>
      </c>
      <c r="D3" s="218" t="s">
        <v>124</v>
      </c>
      <c r="E3" s="218" t="s">
        <v>47</v>
      </c>
      <c r="F3" s="241" t="str">
        <f>IF(E3="","",VLOOKUP(E3,表示電話番号一覧!$C:$F,4,FALSE))</f>
        <v>080-4905-6111</v>
      </c>
      <c r="G3" s="222" t="s">
        <v>919</v>
      </c>
      <c r="H3" s="230"/>
      <c r="I3" s="230"/>
      <c r="J3" s="230"/>
      <c r="K3" s="230"/>
      <c r="L3" s="231"/>
    </row>
    <row r="4" spans="1:12" ht="29.25" customHeight="1" thickBot="1">
      <c r="A4" s="256"/>
      <c r="B4" s="258"/>
      <c r="C4" s="258"/>
      <c r="D4" s="219" t="s">
        <v>125</v>
      </c>
      <c r="E4" s="219" t="s">
        <v>12</v>
      </c>
      <c r="F4" s="242" t="str">
        <f>IF(E4="","",VLOOKUP(E4,表示電話番号一覧!$C:$F,4,FALSE))</f>
        <v>080-3566-8951</v>
      </c>
      <c r="G4" s="223"/>
      <c r="H4" s="232"/>
      <c r="I4" s="232"/>
      <c r="J4" s="232"/>
      <c r="K4" s="232"/>
      <c r="L4" s="233"/>
    </row>
    <row r="5" spans="1:12" ht="29.25" customHeight="1">
      <c r="A5" s="264" t="s">
        <v>129</v>
      </c>
      <c r="B5" s="257" t="s">
        <v>126</v>
      </c>
      <c r="C5" s="257" t="s">
        <v>131</v>
      </c>
      <c r="D5" s="218" t="s">
        <v>124</v>
      </c>
      <c r="E5" s="218" t="s">
        <v>32</v>
      </c>
      <c r="F5" s="241" t="str">
        <f>IF(E5="","",VLOOKUP(E5,表示電話番号一覧!$C:$F,4,FALSE))</f>
        <v>080-3451-6474</v>
      </c>
      <c r="G5" s="228" t="s">
        <v>36</v>
      </c>
      <c r="H5" s="227" t="s">
        <v>59</v>
      </c>
      <c r="I5" s="227" t="s">
        <v>113</v>
      </c>
      <c r="J5" s="227" t="s">
        <v>840</v>
      </c>
      <c r="K5" s="227" t="s">
        <v>43</v>
      </c>
      <c r="L5" s="243" t="s">
        <v>871</v>
      </c>
    </row>
    <row r="6" spans="1:12" ht="29.25" customHeight="1" thickBot="1">
      <c r="A6" s="256"/>
      <c r="B6" s="258"/>
      <c r="C6" s="258"/>
      <c r="D6" s="219" t="s">
        <v>125</v>
      </c>
      <c r="E6" s="220"/>
      <c r="F6" s="242" t="str">
        <f>IF(E6="","",VLOOKUP(E6,表示電話番号一覧!$C:$F,4,FALSE))</f>
        <v/>
      </c>
      <c r="G6" s="244" t="s">
        <v>46</v>
      </c>
      <c r="H6" s="245" t="s">
        <v>86</v>
      </c>
      <c r="I6" s="245" t="s">
        <v>841</v>
      </c>
      <c r="J6" s="232"/>
      <c r="K6" s="232"/>
      <c r="L6" s="233"/>
    </row>
    <row r="7" spans="1:12" ht="29.25" customHeight="1">
      <c r="A7" s="255" t="s">
        <v>127</v>
      </c>
      <c r="B7" s="257" t="s">
        <v>128</v>
      </c>
      <c r="C7" s="257" t="s">
        <v>132</v>
      </c>
      <c r="D7" s="218" t="s">
        <v>124</v>
      </c>
      <c r="E7" s="218" t="s">
        <v>874</v>
      </c>
      <c r="F7" s="241" t="str">
        <f>IF(E7="","",VLOOKUP(E7,表示電話番号一覧!$C:$F,4,FALSE))</f>
        <v>080-3446-7228</v>
      </c>
      <c r="G7" s="224" t="s">
        <v>909</v>
      </c>
      <c r="H7" s="234" t="s">
        <v>911</v>
      </c>
      <c r="I7" s="234" t="s">
        <v>912</v>
      </c>
      <c r="J7" s="234" t="s">
        <v>914</v>
      </c>
      <c r="K7" s="234" t="s">
        <v>915</v>
      </c>
      <c r="L7" s="235"/>
    </row>
    <row r="8" spans="1:12" ht="29.25" customHeight="1" thickBot="1">
      <c r="A8" s="256"/>
      <c r="B8" s="258"/>
      <c r="C8" s="258"/>
      <c r="D8" s="219" t="s">
        <v>125</v>
      </c>
      <c r="E8" s="219"/>
      <c r="F8" s="242" t="str">
        <f>IF(E8="","",VLOOKUP(E8,表示電話番号一覧!$C:$F,4,FALSE))</f>
        <v/>
      </c>
      <c r="G8" s="223"/>
      <c r="H8" s="232"/>
      <c r="I8" s="232"/>
      <c r="J8" s="232"/>
      <c r="K8" s="232"/>
      <c r="L8" s="233"/>
    </row>
    <row r="9" spans="1:12" ht="29.25" customHeight="1">
      <c r="A9" s="255" t="s">
        <v>907</v>
      </c>
      <c r="B9" s="259" t="s">
        <v>136</v>
      </c>
      <c r="C9" s="257" t="s">
        <v>926</v>
      </c>
      <c r="D9" s="218" t="s">
        <v>124</v>
      </c>
      <c r="E9" s="218" t="s">
        <v>94</v>
      </c>
      <c r="F9" s="241" t="str">
        <f>IF(E9="","",VLOOKUP(E9,表示電話番号一覧!$C:$F,4,FALSE))</f>
        <v>070-3533-7393</v>
      </c>
      <c r="G9" s="226" t="s">
        <v>925</v>
      </c>
      <c r="H9" s="227"/>
      <c r="I9" s="234"/>
      <c r="J9" s="234"/>
      <c r="K9" s="234"/>
      <c r="L9" s="235"/>
    </row>
    <row r="10" spans="1:12" ht="29.25" customHeight="1" thickBot="1">
      <c r="A10" s="256"/>
      <c r="B10" s="258"/>
      <c r="C10" s="258"/>
      <c r="D10" s="219" t="s">
        <v>125</v>
      </c>
      <c r="E10" s="219"/>
      <c r="F10" s="242" t="str">
        <f>IF(E10="","",VLOOKUP(E10,表示電話番号一覧!$C:$F,4,FALSE))</f>
        <v/>
      </c>
      <c r="G10" s="223"/>
      <c r="H10" s="232"/>
      <c r="I10" s="232"/>
      <c r="J10" s="232"/>
      <c r="K10" s="232"/>
      <c r="L10" s="233"/>
    </row>
    <row r="11" spans="1:12" ht="29.25" customHeight="1">
      <c r="A11" s="255" t="s">
        <v>902</v>
      </c>
      <c r="B11" s="257" t="s">
        <v>898</v>
      </c>
      <c r="C11" s="257" t="s">
        <v>899</v>
      </c>
      <c r="D11" s="218" t="s">
        <v>124</v>
      </c>
      <c r="E11" s="218" t="s">
        <v>900</v>
      </c>
      <c r="F11" s="241" t="s">
        <v>901</v>
      </c>
      <c r="G11" s="228" t="s">
        <v>440</v>
      </c>
      <c r="H11" s="227" t="s">
        <v>824</v>
      </c>
      <c r="I11" s="234"/>
      <c r="J11" s="234"/>
      <c r="K11" s="234"/>
      <c r="L11" s="235"/>
    </row>
    <row r="12" spans="1:12" ht="29.25" customHeight="1" thickBot="1">
      <c r="A12" s="256"/>
      <c r="B12" s="258"/>
      <c r="C12" s="258"/>
      <c r="D12" s="219" t="s">
        <v>125</v>
      </c>
      <c r="E12" s="219"/>
      <c r="F12" s="242" t="str">
        <f>IF(E12="","",VLOOKUP(E12,表示電話番号一覧!$C:$F,4,FALSE))</f>
        <v/>
      </c>
      <c r="G12" s="223"/>
      <c r="H12" s="232"/>
      <c r="I12" s="232"/>
      <c r="J12" s="232"/>
      <c r="K12" s="232"/>
      <c r="L12" s="233"/>
    </row>
    <row r="13" spans="1:12" ht="29.25" customHeight="1">
      <c r="A13" s="255" t="s">
        <v>133</v>
      </c>
      <c r="B13" s="257" t="s">
        <v>906</v>
      </c>
      <c r="C13" s="257" t="s">
        <v>134</v>
      </c>
      <c r="D13" s="218" t="s">
        <v>124</v>
      </c>
      <c r="E13" s="218" t="s">
        <v>905</v>
      </c>
      <c r="F13" s="241" t="str">
        <f>IF(E13="","",VLOOKUP(E13,表示電話番号一覧!$C:$F,4,FALSE))</f>
        <v>070-3547-4367</v>
      </c>
      <c r="G13" s="228" t="s">
        <v>881</v>
      </c>
      <c r="H13" s="227" t="s">
        <v>819</v>
      </c>
      <c r="I13" s="227" t="s">
        <v>820</v>
      </c>
      <c r="J13" s="229" t="s">
        <v>884</v>
      </c>
      <c r="K13" s="229" t="s">
        <v>885</v>
      </c>
      <c r="L13" s="235" t="s">
        <v>920</v>
      </c>
    </row>
    <row r="14" spans="1:12" ht="29.25" customHeight="1" thickBot="1">
      <c r="A14" s="256"/>
      <c r="B14" s="258"/>
      <c r="C14" s="258"/>
      <c r="D14" s="219" t="s">
        <v>125</v>
      </c>
      <c r="E14" s="219"/>
      <c r="F14" s="242" t="str">
        <f>IF(E14="","",VLOOKUP(E14,表示電話番号一覧!$C:$F,4,FALSE))</f>
        <v/>
      </c>
      <c r="G14" s="223" t="s">
        <v>921</v>
      </c>
      <c r="H14" s="232" t="s">
        <v>922</v>
      </c>
      <c r="I14" s="232" t="s">
        <v>924</v>
      </c>
      <c r="J14" s="232"/>
      <c r="K14" s="232"/>
      <c r="L14" s="233"/>
    </row>
    <row r="15" spans="1:12" ht="29.25" customHeight="1">
      <c r="A15" s="255" t="s">
        <v>893</v>
      </c>
      <c r="B15" s="257" t="s">
        <v>1061</v>
      </c>
      <c r="C15" s="259" t="s">
        <v>896</v>
      </c>
      <c r="D15" s="218" t="s">
        <v>124</v>
      </c>
      <c r="E15" s="218" t="s">
        <v>895</v>
      </c>
      <c r="F15" s="241" t="str">
        <f>IF(E15="","",VLOOKUP(E15,表示電話番号一覧!$C:$F,4,FALSE))</f>
        <v>080-3566-8957</v>
      </c>
      <c r="G15" s="224"/>
      <c r="H15" s="234"/>
      <c r="I15" s="234"/>
      <c r="J15" s="234"/>
      <c r="K15" s="234"/>
      <c r="L15" s="235"/>
    </row>
    <row r="16" spans="1:12" ht="29.25" customHeight="1" thickBot="1">
      <c r="A16" s="256"/>
      <c r="B16" s="258"/>
      <c r="C16" s="258"/>
      <c r="D16" s="219" t="s">
        <v>125</v>
      </c>
      <c r="E16" s="219"/>
      <c r="F16" s="242" t="str">
        <f>IF(E16="","",VLOOKUP(E16,表示電話番号一覧!$C:$F,4,FALSE))</f>
        <v/>
      </c>
      <c r="G16" s="225"/>
      <c r="H16" s="236"/>
      <c r="I16" s="236"/>
      <c r="J16" s="236"/>
      <c r="K16" s="236"/>
      <c r="L16" s="237"/>
    </row>
  </sheetData>
  <mergeCells count="23">
    <mergeCell ref="A7:A8"/>
    <mergeCell ref="B7:B8"/>
    <mergeCell ref="C7:C8"/>
    <mergeCell ref="A9:A10"/>
    <mergeCell ref="B9:B10"/>
    <mergeCell ref="C9:C10"/>
    <mergeCell ref="G2:L2"/>
    <mergeCell ref="D2:E2"/>
    <mergeCell ref="A5:A6"/>
    <mergeCell ref="B5:B6"/>
    <mergeCell ref="C5:C6"/>
    <mergeCell ref="A3:A4"/>
    <mergeCell ref="B3:B4"/>
    <mergeCell ref="C3:C4"/>
    <mergeCell ref="A11:A12"/>
    <mergeCell ref="B11:B12"/>
    <mergeCell ref="C11:C12"/>
    <mergeCell ref="A15:A16"/>
    <mergeCell ref="B15:B16"/>
    <mergeCell ref="C15:C16"/>
    <mergeCell ref="A13:A14"/>
    <mergeCell ref="B13:B14"/>
    <mergeCell ref="C13:C14"/>
  </mergeCells>
  <phoneticPr fontId="18"/>
  <pageMargins left="0.11811023622047245" right="0.11811023622047245" top="0.39370078740157483" bottom="0.31496062992125984" header="0.31496062992125984" footer="0.31496062992125984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91"/>
  <sheetViews>
    <sheetView zoomScale="115" zoomScaleNormal="115" workbookViewId="0">
      <pane ySplit="2" topLeftCell="A72" activePane="bottomLeft" state="frozen"/>
      <selection pane="bottomLeft"/>
    </sheetView>
  </sheetViews>
  <sheetFormatPr defaultColWidth="9" defaultRowHeight="13.5"/>
  <cols>
    <col min="1" max="1" width="9" style="3"/>
    <col min="2" max="2" width="12.125" style="247" customWidth="1"/>
    <col min="3" max="3" width="18.125" style="247" customWidth="1"/>
    <col min="4" max="4" width="28.625" style="247" bestFit="1" customWidth="1"/>
    <col min="5" max="5" width="1.875" style="3" customWidth="1"/>
    <col min="6" max="6" width="18.625" style="3" customWidth="1"/>
    <col min="7" max="7" width="1.125" style="3" customWidth="1"/>
    <col min="8" max="9" width="18.125" style="3" customWidth="1"/>
    <col min="10" max="10" width="8.875" style="247" customWidth="1"/>
    <col min="11" max="11" width="18.125" style="3" customWidth="1"/>
    <col min="12" max="16384" width="9" style="3"/>
  </cols>
  <sheetData>
    <row r="1" spans="2:10">
      <c r="F1" s="3" t="s">
        <v>114</v>
      </c>
      <c r="I1" s="6" t="s">
        <v>112</v>
      </c>
    </row>
    <row r="2" spans="2:10">
      <c r="B2" s="147" t="s">
        <v>0</v>
      </c>
      <c r="C2" s="147" t="s">
        <v>1</v>
      </c>
      <c r="D2" s="147" t="s">
        <v>2</v>
      </c>
      <c r="E2" s="147"/>
      <c r="F2" s="147" t="s">
        <v>101</v>
      </c>
      <c r="G2" s="147"/>
      <c r="H2" s="147" t="s">
        <v>3</v>
      </c>
      <c r="I2" s="147" t="s">
        <v>4</v>
      </c>
      <c r="J2" s="147" t="s">
        <v>1057</v>
      </c>
    </row>
    <row r="3" spans="2:10">
      <c r="B3" s="248">
        <v>961273</v>
      </c>
      <c r="C3" s="248" t="s">
        <v>96</v>
      </c>
      <c r="D3" s="248" t="s">
        <v>953</v>
      </c>
      <c r="E3" s="2"/>
      <c r="F3" s="2" t="str">
        <f t="shared" ref="F3:F28" si="0">IF(H3="",I3,H3)</f>
        <v>090-9025-2358</v>
      </c>
      <c r="G3" s="2"/>
      <c r="H3" s="2" t="s">
        <v>984</v>
      </c>
      <c r="I3" s="2"/>
      <c r="J3" s="248" t="s">
        <v>1059</v>
      </c>
    </row>
    <row r="4" spans="2:10">
      <c r="B4" s="248">
        <v>3106002</v>
      </c>
      <c r="C4" s="248" t="s">
        <v>12</v>
      </c>
      <c r="D4" s="248" t="s">
        <v>9</v>
      </c>
      <c r="E4" s="2"/>
      <c r="F4" s="2" t="str">
        <f t="shared" si="0"/>
        <v>080-3566-8951</v>
      </c>
      <c r="G4" s="2"/>
      <c r="H4" s="2" t="s">
        <v>13</v>
      </c>
      <c r="I4" s="2" t="s">
        <v>14</v>
      </c>
      <c r="J4" s="248"/>
    </row>
    <row r="5" spans="2:10">
      <c r="B5" s="248">
        <v>3110005</v>
      </c>
      <c r="C5" s="248" t="s">
        <v>29</v>
      </c>
      <c r="D5" s="248" t="s">
        <v>9</v>
      </c>
      <c r="E5" s="2"/>
      <c r="F5" s="2" t="str">
        <f t="shared" si="0"/>
        <v>090-6033-7021</v>
      </c>
      <c r="G5" s="2"/>
      <c r="H5" s="2" t="s">
        <v>30</v>
      </c>
      <c r="I5" s="2" t="s">
        <v>31</v>
      </c>
      <c r="J5" s="248"/>
    </row>
    <row r="6" spans="2:10">
      <c r="B6" s="248">
        <v>3120018</v>
      </c>
      <c r="C6" s="248" t="s">
        <v>52</v>
      </c>
      <c r="D6" s="248" t="s">
        <v>961</v>
      </c>
      <c r="E6" s="2"/>
      <c r="F6" s="2" t="str">
        <f t="shared" si="0"/>
        <v>070-2165-7714</v>
      </c>
      <c r="G6" s="2"/>
      <c r="H6" s="2" t="s">
        <v>929</v>
      </c>
      <c r="I6" s="2" t="s">
        <v>53</v>
      </c>
      <c r="J6" s="248"/>
    </row>
    <row r="7" spans="2:10">
      <c r="B7" s="248">
        <v>3107001</v>
      </c>
      <c r="C7" s="248" t="s">
        <v>20</v>
      </c>
      <c r="D7" s="248" t="s">
        <v>961</v>
      </c>
      <c r="E7" s="2"/>
      <c r="F7" s="2" t="str">
        <f t="shared" si="0"/>
        <v>080-3566-8978</v>
      </c>
      <c r="G7" s="2"/>
      <c r="H7" s="2" t="s">
        <v>21</v>
      </c>
      <c r="I7" s="2" t="s">
        <v>22</v>
      </c>
      <c r="J7" s="248"/>
    </row>
    <row r="8" spans="2:10">
      <c r="B8" s="248">
        <v>3120021</v>
      </c>
      <c r="C8" s="248" t="s">
        <v>54</v>
      </c>
      <c r="D8" s="248" t="s">
        <v>961</v>
      </c>
      <c r="E8" s="2"/>
      <c r="F8" s="2" t="str">
        <f t="shared" si="0"/>
        <v>070-4201-6852</v>
      </c>
      <c r="G8" s="2"/>
      <c r="H8" s="2"/>
      <c r="I8" s="2" t="s">
        <v>986</v>
      </c>
      <c r="J8" s="248"/>
    </row>
    <row r="9" spans="2:10">
      <c r="B9" s="248">
        <v>3170001</v>
      </c>
      <c r="C9" s="248" t="s">
        <v>942</v>
      </c>
      <c r="D9" s="248" t="s">
        <v>961</v>
      </c>
      <c r="E9" s="2"/>
      <c r="F9" s="2" t="str">
        <f t="shared" si="0"/>
        <v>090-6950-1788</v>
      </c>
      <c r="G9" s="2"/>
      <c r="H9" s="2"/>
      <c r="I9" s="2" t="s">
        <v>987</v>
      </c>
      <c r="J9" s="248" t="s">
        <v>1056</v>
      </c>
    </row>
    <row r="10" spans="2:10">
      <c r="B10" s="248">
        <v>3170020</v>
      </c>
      <c r="C10" s="248" t="s">
        <v>951</v>
      </c>
      <c r="D10" s="248" t="s">
        <v>961</v>
      </c>
      <c r="E10" s="2"/>
      <c r="F10" s="2" t="str">
        <f t="shared" si="0"/>
        <v>080-3480-2214</v>
      </c>
      <c r="G10" s="2"/>
      <c r="H10" s="2"/>
      <c r="I10" s="2" t="s">
        <v>966</v>
      </c>
      <c r="J10" s="248" t="s">
        <v>1056</v>
      </c>
    </row>
    <row r="11" spans="2:10">
      <c r="B11" s="248"/>
      <c r="C11" s="248" t="s">
        <v>863</v>
      </c>
      <c r="D11" s="248" t="s">
        <v>961</v>
      </c>
      <c r="E11" s="2"/>
      <c r="F11" s="2" t="str">
        <f t="shared" si="0"/>
        <v>090-1047-0938</v>
      </c>
      <c r="G11" s="2"/>
      <c r="H11" s="2"/>
      <c r="I11" s="2" t="s">
        <v>983</v>
      </c>
      <c r="J11" s="248" t="s">
        <v>1055</v>
      </c>
    </row>
    <row r="12" spans="2:10">
      <c r="B12" s="248">
        <v>3130014</v>
      </c>
      <c r="C12" s="248" t="s">
        <v>70</v>
      </c>
      <c r="D12" s="248" t="s">
        <v>962</v>
      </c>
      <c r="E12" s="2"/>
      <c r="F12" s="2" t="str">
        <f t="shared" si="0"/>
        <v>080-4581-1554</v>
      </c>
      <c r="G12" s="2"/>
      <c r="H12" s="2" t="s">
        <v>71</v>
      </c>
      <c r="I12" s="2" t="s">
        <v>72</v>
      </c>
      <c r="J12" s="248"/>
    </row>
    <row r="13" spans="2:10">
      <c r="B13" s="248">
        <v>3130013</v>
      </c>
      <c r="C13" s="248" t="s">
        <v>67</v>
      </c>
      <c r="D13" s="248" t="s">
        <v>962</v>
      </c>
      <c r="E13" s="2"/>
      <c r="F13" s="2" t="str">
        <f t="shared" si="0"/>
        <v>080-3431-6721</v>
      </c>
      <c r="G13" s="2"/>
      <c r="H13" s="2" t="s">
        <v>68</v>
      </c>
      <c r="I13" s="2" t="s">
        <v>69</v>
      </c>
      <c r="J13" s="248"/>
    </row>
    <row r="14" spans="2:10">
      <c r="B14" s="248">
        <v>3150013</v>
      </c>
      <c r="C14" s="248" t="s">
        <v>84</v>
      </c>
      <c r="D14" s="248" t="s">
        <v>962</v>
      </c>
      <c r="E14" s="2"/>
      <c r="F14" s="2" t="str">
        <f t="shared" si="0"/>
        <v>080-3566-8973</v>
      </c>
      <c r="G14" s="2"/>
      <c r="H14" s="2" t="s">
        <v>85</v>
      </c>
      <c r="I14" s="2" t="s">
        <v>988</v>
      </c>
      <c r="J14" s="248"/>
    </row>
    <row r="15" spans="2:10">
      <c r="B15" s="248">
        <v>3160021</v>
      </c>
      <c r="C15" s="248" t="s">
        <v>838</v>
      </c>
      <c r="D15" s="248" t="s">
        <v>962</v>
      </c>
      <c r="E15" s="2"/>
      <c r="F15" s="2" t="str">
        <f t="shared" si="0"/>
        <v>070-3854-6729</v>
      </c>
      <c r="G15" s="2"/>
      <c r="H15" s="2" t="s">
        <v>989</v>
      </c>
      <c r="I15" s="2" t="s">
        <v>990</v>
      </c>
      <c r="J15" s="248"/>
    </row>
    <row r="16" spans="2:10">
      <c r="B16" s="248">
        <v>3150004</v>
      </c>
      <c r="C16" s="248" t="s">
        <v>81</v>
      </c>
      <c r="D16" s="248" t="s">
        <v>962</v>
      </c>
      <c r="E16" s="2"/>
      <c r="F16" s="2" t="str">
        <f t="shared" si="0"/>
        <v>080-9870-0199</v>
      </c>
      <c r="G16" s="2"/>
      <c r="H16" s="2" t="s">
        <v>82</v>
      </c>
      <c r="I16" s="2" t="s">
        <v>83</v>
      </c>
      <c r="J16" s="248" t="s">
        <v>1058</v>
      </c>
    </row>
    <row r="17" spans="2:10">
      <c r="B17" s="248">
        <v>3111005</v>
      </c>
      <c r="C17" s="248" t="s">
        <v>33</v>
      </c>
      <c r="D17" s="248" t="s">
        <v>963</v>
      </c>
      <c r="E17" s="2"/>
      <c r="F17" s="2" t="str">
        <f t="shared" si="0"/>
        <v>080-3270-6875</v>
      </c>
      <c r="G17" s="2"/>
      <c r="H17" s="2" t="s">
        <v>34</v>
      </c>
      <c r="I17" s="2" t="s">
        <v>35</v>
      </c>
      <c r="J17" s="248"/>
    </row>
    <row r="18" spans="2:10">
      <c r="B18" s="248">
        <v>3120016</v>
      </c>
      <c r="C18" s="248" t="s">
        <v>49</v>
      </c>
      <c r="D18" s="248" t="s">
        <v>963</v>
      </c>
      <c r="E18" s="2"/>
      <c r="F18" s="2" t="str">
        <f t="shared" si="0"/>
        <v>090-9808-6751</v>
      </c>
      <c r="G18" s="2"/>
      <c r="H18" s="2" t="s">
        <v>50</v>
      </c>
      <c r="I18" s="2" t="s">
        <v>51</v>
      </c>
      <c r="J18" s="248"/>
    </row>
    <row r="19" spans="2:10">
      <c r="B19" s="248">
        <v>3120023</v>
      </c>
      <c r="C19" s="248" t="s">
        <v>55</v>
      </c>
      <c r="D19" s="248" t="s">
        <v>963</v>
      </c>
      <c r="E19" s="2"/>
      <c r="F19" s="2" t="str">
        <f t="shared" si="0"/>
        <v>080-4373-7684</v>
      </c>
      <c r="G19" s="2"/>
      <c r="H19" s="2" t="s">
        <v>56</v>
      </c>
      <c r="I19" s="2" t="s">
        <v>57</v>
      </c>
      <c r="J19" s="248"/>
    </row>
    <row r="20" spans="2:10">
      <c r="B20" s="248">
        <v>3140003</v>
      </c>
      <c r="C20" s="248" t="s">
        <v>75</v>
      </c>
      <c r="D20" s="248" t="s">
        <v>963</v>
      </c>
      <c r="E20" s="2"/>
      <c r="F20" s="2" t="str">
        <f t="shared" si="0"/>
        <v>080-9802-4443</v>
      </c>
      <c r="G20" s="2"/>
      <c r="H20" s="2" t="s">
        <v>76</v>
      </c>
      <c r="I20" s="2" t="s">
        <v>77</v>
      </c>
      <c r="J20" s="248"/>
    </row>
    <row r="21" spans="2:10">
      <c r="B21" s="248">
        <v>3160010</v>
      </c>
      <c r="C21" s="248" t="s">
        <v>839</v>
      </c>
      <c r="D21" s="248" t="s">
        <v>963</v>
      </c>
      <c r="E21" s="2"/>
      <c r="F21" s="2" t="str">
        <f t="shared" si="0"/>
        <v>080-3606-3448</v>
      </c>
      <c r="G21" s="2"/>
      <c r="H21" s="2" t="s">
        <v>991</v>
      </c>
      <c r="I21" s="2" t="s">
        <v>992</v>
      </c>
      <c r="J21" s="248"/>
    </row>
    <row r="22" spans="2:10">
      <c r="B22" s="248">
        <v>3160020</v>
      </c>
      <c r="C22" s="248" t="s">
        <v>823</v>
      </c>
      <c r="D22" s="248" t="s">
        <v>963</v>
      </c>
      <c r="E22" s="2"/>
      <c r="F22" s="2" t="str">
        <f t="shared" si="0"/>
        <v>070-3854-6728</v>
      </c>
      <c r="G22" s="2"/>
      <c r="H22" s="2" t="s">
        <v>993</v>
      </c>
      <c r="I22" s="2" t="s">
        <v>994</v>
      </c>
      <c r="J22" s="248"/>
    </row>
    <row r="23" spans="2:10">
      <c r="B23" s="248">
        <v>3160022</v>
      </c>
      <c r="C23" s="248" t="s">
        <v>824</v>
      </c>
      <c r="D23" s="248" t="s">
        <v>963</v>
      </c>
      <c r="E23" s="2"/>
      <c r="F23" s="2" t="str">
        <f t="shared" si="0"/>
        <v>070-3854-6730</v>
      </c>
      <c r="G23" s="2"/>
      <c r="H23" s="2" t="s">
        <v>995</v>
      </c>
      <c r="I23" s="2" t="s">
        <v>996</v>
      </c>
      <c r="J23" s="248"/>
    </row>
    <row r="24" spans="2:10">
      <c r="B24" s="248">
        <v>3160023</v>
      </c>
      <c r="C24" s="248" t="s">
        <v>939</v>
      </c>
      <c r="D24" s="248" t="s">
        <v>963</v>
      </c>
      <c r="E24" s="2"/>
      <c r="F24" s="2" t="str">
        <f t="shared" si="0"/>
        <v>070-3864-2675</v>
      </c>
      <c r="G24" s="2"/>
      <c r="H24" s="2" t="s">
        <v>997</v>
      </c>
      <c r="I24" s="2" t="s">
        <v>998</v>
      </c>
      <c r="J24" s="248"/>
    </row>
    <row r="25" spans="2:10">
      <c r="B25" s="248">
        <v>1000058</v>
      </c>
      <c r="C25" s="248" t="s">
        <v>931</v>
      </c>
      <c r="D25" s="248" t="s">
        <v>963</v>
      </c>
      <c r="E25" s="2"/>
      <c r="F25" s="2" t="str">
        <f t="shared" si="0"/>
        <v>070-4579-7535</v>
      </c>
      <c r="G25" s="2"/>
      <c r="H25" s="2" t="s">
        <v>969</v>
      </c>
      <c r="I25" s="2"/>
      <c r="J25" s="248" t="s">
        <v>1059</v>
      </c>
    </row>
    <row r="26" spans="2:10">
      <c r="B26" s="248">
        <v>3109005</v>
      </c>
      <c r="C26" s="248" t="s">
        <v>27</v>
      </c>
      <c r="D26" s="248" t="s">
        <v>964</v>
      </c>
      <c r="E26" s="2"/>
      <c r="F26" s="2" t="str">
        <f t="shared" si="0"/>
        <v>080-3566-8958</v>
      </c>
      <c r="G26" s="2"/>
      <c r="H26" s="2" t="s">
        <v>999</v>
      </c>
      <c r="I26" s="2" t="s">
        <v>1000</v>
      </c>
      <c r="J26" s="248"/>
    </row>
    <row r="27" spans="2:10">
      <c r="B27" s="248">
        <v>3107002</v>
      </c>
      <c r="C27" s="248" t="s">
        <v>23</v>
      </c>
      <c r="D27" s="248" t="s">
        <v>964</v>
      </c>
      <c r="E27" s="2"/>
      <c r="F27" s="2" t="str">
        <f t="shared" si="0"/>
        <v>080-3566-8957</v>
      </c>
      <c r="G27" s="2"/>
      <c r="H27" s="2" t="s">
        <v>1003</v>
      </c>
      <c r="I27" s="2" t="s">
        <v>1004</v>
      </c>
      <c r="J27" s="248"/>
    </row>
    <row r="28" spans="2:10">
      <c r="B28" s="248">
        <v>3120007</v>
      </c>
      <c r="C28" s="248" t="s">
        <v>39</v>
      </c>
      <c r="D28" s="248" t="s">
        <v>964</v>
      </c>
      <c r="E28" s="2"/>
      <c r="F28" s="2" t="str">
        <f t="shared" si="0"/>
        <v>080-4106-8296</v>
      </c>
      <c r="G28" s="2"/>
      <c r="H28" s="2" t="s">
        <v>1005</v>
      </c>
      <c r="I28" s="2" t="s">
        <v>979</v>
      </c>
      <c r="J28" s="248"/>
    </row>
    <row r="29" spans="2:10">
      <c r="B29" s="248">
        <v>3150021</v>
      </c>
      <c r="C29" s="248" t="s">
        <v>845</v>
      </c>
      <c r="D29" s="248" t="s">
        <v>964</v>
      </c>
      <c r="E29" s="2"/>
      <c r="F29" s="2" t="str">
        <f t="shared" ref="F29:F56" si="1">IF(H29="",I29,H29)</f>
        <v>070-3601-5755</v>
      </c>
      <c r="G29" s="2"/>
      <c r="H29" s="2" t="s">
        <v>1006</v>
      </c>
      <c r="I29" s="2" t="s">
        <v>92</v>
      </c>
      <c r="J29" s="248"/>
    </row>
    <row r="30" spans="2:10">
      <c r="B30" s="248">
        <v>3150022</v>
      </c>
      <c r="C30" s="248" t="s">
        <v>846</v>
      </c>
      <c r="D30" s="248" t="s">
        <v>964</v>
      </c>
      <c r="E30" s="2"/>
      <c r="F30" s="2" t="str">
        <f t="shared" si="1"/>
        <v>070-3609-3812</v>
      </c>
      <c r="G30" s="2"/>
      <c r="H30" s="2" t="s">
        <v>1007</v>
      </c>
      <c r="I30" s="2" t="s">
        <v>1008</v>
      </c>
      <c r="J30" s="248"/>
    </row>
    <row r="31" spans="2:10">
      <c r="B31" s="248">
        <v>3150024</v>
      </c>
      <c r="C31" s="248" t="s">
        <v>94</v>
      </c>
      <c r="D31" s="248" t="s">
        <v>964</v>
      </c>
      <c r="E31" s="2"/>
      <c r="F31" s="2" t="str">
        <f t="shared" si="1"/>
        <v>070-3533-7393</v>
      </c>
      <c r="G31" s="2"/>
      <c r="H31" s="2" t="s">
        <v>1009</v>
      </c>
      <c r="I31" s="2" t="s">
        <v>95</v>
      </c>
      <c r="J31" s="248"/>
    </row>
    <row r="32" spans="2:10">
      <c r="B32" s="248">
        <v>3160011</v>
      </c>
      <c r="C32" s="248" t="s">
        <v>843</v>
      </c>
      <c r="D32" s="248" t="s">
        <v>964</v>
      </c>
      <c r="E32" s="2"/>
      <c r="F32" s="2" t="str">
        <f t="shared" si="1"/>
        <v>080-3566-8955</v>
      </c>
      <c r="G32" s="2"/>
      <c r="H32" s="2" t="s">
        <v>970</v>
      </c>
      <c r="I32" s="2" t="s">
        <v>1010</v>
      </c>
      <c r="J32" s="248"/>
    </row>
    <row r="33" spans="2:10">
      <c r="B33" s="248">
        <v>3170018</v>
      </c>
      <c r="C33" s="248" t="s">
        <v>949</v>
      </c>
      <c r="D33" s="248" t="s">
        <v>964</v>
      </c>
      <c r="E33" s="2"/>
      <c r="F33" s="2" t="str">
        <f t="shared" si="1"/>
        <v>090-6723-5666</v>
      </c>
      <c r="G33" s="2"/>
      <c r="H33" s="2" t="s">
        <v>1011</v>
      </c>
      <c r="I33" s="2" t="s">
        <v>1012</v>
      </c>
      <c r="J33" s="248"/>
    </row>
    <row r="34" spans="2:10">
      <c r="B34" s="248">
        <v>3170005</v>
      </c>
      <c r="C34" s="248" t="s">
        <v>960</v>
      </c>
      <c r="D34" s="248" t="s">
        <v>964</v>
      </c>
      <c r="E34" s="2"/>
      <c r="F34" s="2" t="str">
        <f>IF(H34="",I34,H34)</f>
        <v>090-3157-1610</v>
      </c>
      <c r="G34" s="2"/>
      <c r="H34" s="2"/>
      <c r="I34" s="2" t="s">
        <v>972</v>
      </c>
      <c r="J34" s="248" t="s">
        <v>1056</v>
      </c>
    </row>
    <row r="35" spans="2:10">
      <c r="B35" s="248">
        <v>3170019</v>
      </c>
      <c r="C35" s="248" t="s">
        <v>950</v>
      </c>
      <c r="D35" s="248" t="s">
        <v>964</v>
      </c>
      <c r="E35" s="2"/>
      <c r="F35" s="2" t="str">
        <f t="shared" si="1"/>
        <v>090-8490-0670</v>
      </c>
      <c r="G35" s="2"/>
      <c r="H35" s="2"/>
      <c r="I35" s="2" t="s">
        <v>971</v>
      </c>
      <c r="J35" s="248" t="s">
        <v>1056</v>
      </c>
    </row>
    <row r="36" spans="2:10">
      <c r="B36" s="248">
        <v>3111001</v>
      </c>
      <c r="C36" s="248" t="s">
        <v>32</v>
      </c>
      <c r="D36" s="248" t="s">
        <v>965</v>
      </c>
      <c r="E36" s="2"/>
      <c r="F36" s="2" t="str">
        <f t="shared" si="1"/>
        <v>080-3451-6474</v>
      </c>
      <c r="G36" s="2"/>
      <c r="H36" s="2" t="s">
        <v>1013</v>
      </c>
      <c r="I36" s="2" t="s">
        <v>1014</v>
      </c>
      <c r="J36" s="248"/>
    </row>
    <row r="37" spans="2:10">
      <c r="B37" s="248">
        <v>3109002</v>
      </c>
      <c r="C37" s="248" t="s">
        <v>26</v>
      </c>
      <c r="D37" s="248" t="s">
        <v>965</v>
      </c>
      <c r="E37" s="2"/>
      <c r="F37" s="2" t="str">
        <f t="shared" si="1"/>
        <v>080-3566-8974</v>
      </c>
      <c r="G37" s="2"/>
      <c r="H37" s="2" t="s">
        <v>1015</v>
      </c>
      <c r="I37" s="2" t="s">
        <v>1016</v>
      </c>
      <c r="J37" s="248"/>
    </row>
    <row r="38" spans="2:10">
      <c r="B38" s="248">
        <v>3111006</v>
      </c>
      <c r="C38" s="248" t="s">
        <v>36</v>
      </c>
      <c r="D38" s="248" t="s">
        <v>965</v>
      </c>
      <c r="E38" s="2"/>
      <c r="F38" s="2" t="str">
        <f t="shared" si="1"/>
        <v>080-4373-7695</v>
      </c>
      <c r="G38" s="2"/>
      <c r="H38" s="2" t="s">
        <v>37</v>
      </c>
      <c r="I38" s="2" t="s">
        <v>38</v>
      </c>
      <c r="J38" s="248"/>
    </row>
    <row r="39" spans="2:10">
      <c r="B39" s="248">
        <v>3120010</v>
      </c>
      <c r="C39" s="248" t="s">
        <v>43</v>
      </c>
      <c r="D39" s="248" t="s">
        <v>965</v>
      </c>
      <c r="E39" s="2"/>
      <c r="F39" s="2" t="str">
        <f t="shared" si="1"/>
        <v>080-4581-1553</v>
      </c>
      <c r="G39" s="2"/>
      <c r="H39" s="2" t="s">
        <v>44</v>
      </c>
      <c r="I39" s="2" t="s">
        <v>45</v>
      </c>
      <c r="J39" s="248"/>
    </row>
    <row r="40" spans="2:10">
      <c r="B40" s="248">
        <v>3120014</v>
      </c>
      <c r="C40" s="248" t="s">
        <v>46</v>
      </c>
      <c r="D40" s="248" t="s">
        <v>965</v>
      </c>
      <c r="E40" s="2"/>
      <c r="F40" s="2" t="str">
        <f t="shared" si="1"/>
        <v>080-4373-7793</v>
      </c>
      <c r="G40" s="2"/>
      <c r="H40" s="2" t="s">
        <v>1017</v>
      </c>
      <c r="I40" s="2" t="s">
        <v>1018</v>
      </c>
      <c r="J40" s="248"/>
    </row>
    <row r="41" spans="2:10">
      <c r="B41" s="248">
        <v>3130008</v>
      </c>
      <c r="C41" s="248" t="s">
        <v>59</v>
      </c>
      <c r="D41" s="248" t="s">
        <v>965</v>
      </c>
      <c r="E41" s="2"/>
      <c r="F41" s="2" t="str">
        <f t="shared" si="1"/>
        <v>080-3566-8966</v>
      </c>
      <c r="G41" s="2"/>
      <c r="H41" s="2" t="s">
        <v>60</v>
      </c>
      <c r="I41" s="2" t="s">
        <v>61</v>
      </c>
      <c r="J41" s="248"/>
    </row>
    <row r="42" spans="2:10">
      <c r="B42" s="248">
        <v>3150016</v>
      </c>
      <c r="C42" s="248" t="s">
        <v>86</v>
      </c>
      <c r="D42" s="248" t="s">
        <v>965</v>
      </c>
      <c r="E42" s="2"/>
      <c r="F42" s="2" t="str">
        <f t="shared" si="1"/>
        <v>070-3541-0263</v>
      </c>
      <c r="G42" s="2"/>
      <c r="H42" s="2" t="s">
        <v>87</v>
      </c>
      <c r="I42" s="2" t="s">
        <v>1019</v>
      </c>
      <c r="J42" s="248"/>
    </row>
    <row r="43" spans="2:10">
      <c r="B43" s="248">
        <v>3160001</v>
      </c>
      <c r="C43" s="248" t="s">
        <v>113</v>
      </c>
      <c r="D43" s="248" t="s">
        <v>965</v>
      </c>
      <c r="E43" s="2"/>
      <c r="F43" s="2" t="str">
        <f t="shared" si="1"/>
        <v>070-3629-7215</v>
      </c>
      <c r="G43" s="2"/>
      <c r="H43" s="2" t="s">
        <v>1020</v>
      </c>
      <c r="I43" s="2" t="s">
        <v>1021</v>
      </c>
      <c r="J43" s="248"/>
    </row>
    <row r="44" spans="2:10">
      <c r="B44" s="248">
        <v>3160003</v>
      </c>
      <c r="C44" s="248" t="s">
        <v>937</v>
      </c>
      <c r="D44" s="248" t="s">
        <v>965</v>
      </c>
      <c r="E44" s="2"/>
      <c r="F44" s="2" t="str">
        <f t="shared" si="1"/>
        <v>070-3661-7937</v>
      </c>
      <c r="G44" s="2"/>
      <c r="H44" s="2" t="s">
        <v>1022</v>
      </c>
      <c r="I44" s="2" t="s">
        <v>1023</v>
      </c>
      <c r="J44" s="248"/>
    </row>
    <row r="45" spans="2:10">
      <c r="B45" s="248">
        <v>3160006</v>
      </c>
      <c r="C45" s="248" t="s">
        <v>841</v>
      </c>
      <c r="D45" s="248" t="s">
        <v>965</v>
      </c>
      <c r="E45" s="2"/>
      <c r="F45" s="2" t="str">
        <f t="shared" si="1"/>
        <v>070-3843-4639</v>
      </c>
      <c r="G45" s="2"/>
      <c r="H45" s="2" t="s">
        <v>1024</v>
      </c>
      <c r="I45" s="2" t="s">
        <v>1025</v>
      </c>
      <c r="J45" s="248"/>
    </row>
    <row r="46" spans="2:10">
      <c r="B46" s="248">
        <v>3170017</v>
      </c>
      <c r="C46" s="248" t="s">
        <v>948</v>
      </c>
      <c r="D46" s="248" t="s">
        <v>965</v>
      </c>
      <c r="E46" s="2"/>
      <c r="F46" s="2" t="str">
        <f t="shared" si="1"/>
        <v>070-4579-7534</v>
      </c>
      <c r="G46" s="2"/>
      <c r="H46" s="2" t="s">
        <v>1026</v>
      </c>
      <c r="I46" s="2" t="s">
        <v>980</v>
      </c>
      <c r="J46" s="248" t="s">
        <v>1058</v>
      </c>
    </row>
    <row r="47" spans="2:10">
      <c r="B47" s="248">
        <v>990727</v>
      </c>
      <c r="C47" s="248" t="s">
        <v>97</v>
      </c>
      <c r="D47" s="248" t="s">
        <v>956</v>
      </c>
      <c r="E47" s="2"/>
      <c r="F47" s="2" t="str">
        <f t="shared" si="1"/>
        <v>080-3754-3568</v>
      </c>
      <c r="G47" s="2"/>
      <c r="H47" s="2" t="s">
        <v>1027</v>
      </c>
      <c r="I47" s="2" t="s">
        <v>1028</v>
      </c>
      <c r="J47" s="248" t="s">
        <v>1059</v>
      </c>
    </row>
    <row r="48" spans="2:10">
      <c r="B48" s="248">
        <v>3130012</v>
      </c>
      <c r="C48" s="248" t="s">
        <v>64</v>
      </c>
      <c r="D48" s="248" t="s">
        <v>956</v>
      </c>
      <c r="E48" s="2"/>
      <c r="F48" s="2" t="str">
        <f t="shared" si="1"/>
        <v>080-7933-6122</v>
      </c>
      <c r="G48" s="2"/>
      <c r="H48" s="2" t="s">
        <v>65</v>
      </c>
      <c r="I48" s="2" t="s">
        <v>66</v>
      </c>
      <c r="J48" s="248"/>
    </row>
    <row r="49" spans="2:11">
      <c r="B49" s="248">
        <v>3150017</v>
      </c>
      <c r="C49" s="248" t="s">
        <v>88</v>
      </c>
      <c r="D49" s="248" t="s">
        <v>956</v>
      </c>
      <c r="E49" s="2"/>
      <c r="F49" s="2" t="str">
        <f t="shared" si="1"/>
        <v>070-3541-0264</v>
      </c>
      <c r="G49" s="2"/>
      <c r="H49" s="2" t="s">
        <v>1029</v>
      </c>
      <c r="I49" s="2"/>
      <c r="J49" s="248"/>
    </row>
    <row r="50" spans="2:11">
      <c r="B50" s="248">
        <v>990824</v>
      </c>
      <c r="C50" s="248" t="s">
        <v>98</v>
      </c>
      <c r="D50" s="248" t="s">
        <v>956</v>
      </c>
      <c r="E50" s="2"/>
      <c r="F50" s="2" t="str">
        <f t="shared" si="1"/>
        <v>070-3514-2223</v>
      </c>
      <c r="G50" s="2"/>
      <c r="H50" s="2" t="s">
        <v>99</v>
      </c>
      <c r="I50" s="2" t="s">
        <v>100</v>
      </c>
      <c r="J50" s="248" t="s">
        <v>1059</v>
      </c>
    </row>
    <row r="51" spans="2:11">
      <c r="B51" s="248">
        <v>1080150</v>
      </c>
      <c r="C51" s="248" t="s">
        <v>934</v>
      </c>
      <c r="D51" s="248" t="s">
        <v>956</v>
      </c>
      <c r="E51" s="2"/>
      <c r="F51" s="2" t="str">
        <f t="shared" si="1"/>
        <v>070-3831-8111</v>
      </c>
      <c r="G51" s="2"/>
      <c r="H51" s="2" t="s">
        <v>1030</v>
      </c>
      <c r="I51" s="2"/>
      <c r="J51" s="248" t="s">
        <v>1059</v>
      </c>
    </row>
    <row r="52" spans="2:11">
      <c r="B52" s="248">
        <v>3150014</v>
      </c>
      <c r="C52" s="248" t="s">
        <v>935</v>
      </c>
      <c r="D52" s="248" t="s">
        <v>956</v>
      </c>
      <c r="E52" s="2"/>
      <c r="F52" s="2" t="str">
        <f t="shared" si="1"/>
        <v>090-2442-2655</v>
      </c>
      <c r="G52" s="2"/>
      <c r="H52" s="2"/>
      <c r="I52" s="2" t="s">
        <v>1031</v>
      </c>
      <c r="J52" s="248" t="s">
        <v>1058</v>
      </c>
    </row>
    <row r="53" spans="2:11" ht="16.5">
      <c r="B53" s="248">
        <v>3160013</v>
      </c>
      <c r="C53" s="248" t="s">
        <v>938</v>
      </c>
      <c r="D53" s="248" t="s">
        <v>956</v>
      </c>
      <c r="E53" s="2"/>
      <c r="F53" s="2" t="str">
        <f t="shared" si="1"/>
        <v>090-9811-6923</v>
      </c>
      <c r="G53" s="2"/>
      <c r="H53" s="2"/>
      <c r="I53" s="2" t="s">
        <v>978</v>
      </c>
      <c r="J53" s="248" t="s">
        <v>1056</v>
      </c>
      <c r="K53" s="7"/>
    </row>
    <row r="54" spans="2:11">
      <c r="B54" s="248">
        <v>3170012</v>
      </c>
      <c r="C54" s="248" t="s">
        <v>946</v>
      </c>
      <c r="D54" s="248" t="s">
        <v>956</v>
      </c>
      <c r="E54" s="2"/>
      <c r="F54" s="2" t="str">
        <f t="shared" si="1"/>
        <v>080-5746-0499</v>
      </c>
      <c r="G54" s="2"/>
      <c r="H54" s="2"/>
      <c r="I54" s="2" t="s">
        <v>1032</v>
      </c>
      <c r="J54" s="248" t="s">
        <v>1056</v>
      </c>
    </row>
    <row r="55" spans="2:11">
      <c r="B55" s="248">
        <v>3106003</v>
      </c>
      <c r="C55" s="248" t="s">
        <v>15</v>
      </c>
      <c r="D55" s="248" t="s">
        <v>954</v>
      </c>
      <c r="E55" s="2"/>
      <c r="F55" s="2" t="str">
        <f t="shared" si="1"/>
        <v>080-4862-3745</v>
      </c>
      <c r="G55" s="2"/>
      <c r="H55" s="2" t="s">
        <v>1033</v>
      </c>
      <c r="I55" s="2" t="s">
        <v>1034</v>
      </c>
      <c r="J55" s="248"/>
    </row>
    <row r="56" spans="2:11">
      <c r="B56" s="248">
        <v>3160008</v>
      </c>
      <c r="C56" s="248" t="s">
        <v>827</v>
      </c>
      <c r="D56" s="248" t="s">
        <v>954</v>
      </c>
      <c r="E56" s="2"/>
      <c r="F56" s="2" t="str">
        <f t="shared" si="1"/>
        <v>090-3104-3067</v>
      </c>
      <c r="G56" s="2"/>
      <c r="H56" s="2"/>
      <c r="I56" s="2" t="s">
        <v>1035</v>
      </c>
      <c r="J56" s="248" t="s">
        <v>1058</v>
      </c>
    </row>
    <row r="57" spans="2:11">
      <c r="B57" s="248">
        <v>6000039</v>
      </c>
      <c r="C57" s="248" t="s">
        <v>829</v>
      </c>
      <c r="D57" s="248" t="s">
        <v>954</v>
      </c>
      <c r="E57" s="2"/>
      <c r="F57" s="2" t="str">
        <f t="shared" ref="F57:F84" si="2">IF(H57="",I57,H57)</f>
        <v>080-3384-9464</v>
      </c>
      <c r="G57" s="2"/>
      <c r="H57" s="2"/>
      <c r="I57" s="2" t="s">
        <v>1036</v>
      </c>
      <c r="J57" s="248" t="s">
        <v>1059</v>
      </c>
    </row>
    <row r="58" spans="2:11">
      <c r="B58" s="248">
        <v>3130010</v>
      </c>
      <c r="C58" s="248" t="s">
        <v>62</v>
      </c>
      <c r="D58" s="248" t="s">
        <v>954</v>
      </c>
      <c r="E58" s="2"/>
      <c r="F58" s="2" t="str">
        <f t="shared" si="2"/>
        <v>080-4584-2248</v>
      </c>
      <c r="G58" s="2"/>
      <c r="H58" s="2" t="s">
        <v>930</v>
      </c>
      <c r="I58" s="2" t="s">
        <v>63</v>
      </c>
      <c r="J58" s="248"/>
    </row>
    <row r="59" spans="2:11">
      <c r="B59" s="248">
        <v>3106006</v>
      </c>
      <c r="C59" s="248" t="s">
        <v>19</v>
      </c>
      <c r="D59" s="248" t="s">
        <v>957</v>
      </c>
      <c r="E59" s="2"/>
      <c r="F59" s="2" t="str">
        <f t="shared" si="2"/>
        <v>080-3566-8956</v>
      </c>
      <c r="G59" s="2"/>
      <c r="H59" s="2" t="s">
        <v>1037</v>
      </c>
      <c r="I59" s="2" t="s">
        <v>1038</v>
      </c>
      <c r="J59" s="248"/>
    </row>
    <row r="60" spans="2:11">
      <c r="B60" s="248">
        <v>1040116</v>
      </c>
      <c r="C60" s="248" t="s">
        <v>933</v>
      </c>
      <c r="D60" s="248" t="s">
        <v>957</v>
      </c>
      <c r="E60" s="2"/>
      <c r="F60" s="2" t="str">
        <f t="shared" si="2"/>
        <v>080-9640-2656</v>
      </c>
      <c r="G60" s="2"/>
      <c r="H60" s="2" t="s">
        <v>1039</v>
      </c>
      <c r="I60" s="2"/>
      <c r="J60" s="248" t="s">
        <v>1059</v>
      </c>
    </row>
    <row r="61" spans="2:11">
      <c r="B61" s="248">
        <v>3150019</v>
      </c>
      <c r="C61" s="249" t="s">
        <v>89</v>
      </c>
      <c r="D61" s="248" t="s">
        <v>957</v>
      </c>
      <c r="E61" s="2"/>
      <c r="F61" s="2" t="str">
        <f t="shared" si="2"/>
        <v>070-3533-7394</v>
      </c>
      <c r="G61" s="2"/>
      <c r="H61" s="2" t="s">
        <v>90</v>
      </c>
      <c r="I61" s="2" t="s">
        <v>91</v>
      </c>
      <c r="J61" s="249"/>
    </row>
    <row r="62" spans="2:11">
      <c r="B62" s="248">
        <v>3160002</v>
      </c>
      <c r="C62" s="249" t="s">
        <v>105</v>
      </c>
      <c r="D62" s="248" t="s">
        <v>957</v>
      </c>
      <c r="E62" s="2"/>
      <c r="F62" s="2" t="str">
        <f t="shared" si="2"/>
        <v>070-3547-4367</v>
      </c>
      <c r="G62" s="2"/>
      <c r="H62" s="2" t="s">
        <v>1040</v>
      </c>
      <c r="I62" s="2" t="s">
        <v>1041</v>
      </c>
      <c r="J62" s="249"/>
    </row>
    <row r="63" spans="2:11">
      <c r="B63" s="248">
        <v>3160012</v>
      </c>
      <c r="C63" s="249" t="s">
        <v>138</v>
      </c>
      <c r="D63" s="248" t="s">
        <v>957</v>
      </c>
      <c r="E63" s="2"/>
      <c r="F63" s="2" t="str">
        <f t="shared" si="2"/>
        <v>070-3852-1867</v>
      </c>
      <c r="G63" s="2"/>
      <c r="H63" s="2" t="s">
        <v>1042</v>
      </c>
      <c r="I63" s="2" t="s">
        <v>1043</v>
      </c>
      <c r="J63" s="249"/>
    </row>
    <row r="64" spans="2:11">
      <c r="B64" s="248">
        <v>3170009</v>
      </c>
      <c r="C64" s="250" t="s">
        <v>944</v>
      </c>
      <c r="D64" s="248" t="s">
        <v>957</v>
      </c>
      <c r="E64" s="2"/>
      <c r="F64" s="2" t="str">
        <f t="shared" si="2"/>
        <v>080-3566-8953</v>
      </c>
      <c r="G64" s="2"/>
      <c r="H64" s="2" t="s">
        <v>1047</v>
      </c>
      <c r="I64" s="2" t="s">
        <v>981</v>
      </c>
      <c r="J64" s="250"/>
    </row>
    <row r="65" spans="2:10">
      <c r="B65" s="248">
        <v>3170016</v>
      </c>
      <c r="C65" s="250" t="s">
        <v>1060</v>
      </c>
      <c r="D65" s="248" t="s">
        <v>957</v>
      </c>
      <c r="E65" s="2"/>
      <c r="F65" s="2" t="str">
        <f t="shared" si="2"/>
        <v>070-3872-7701</v>
      </c>
      <c r="G65" s="2"/>
      <c r="H65" s="2" t="s">
        <v>974</v>
      </c>
      <c r="I65" s="2" t="s">
        <v>975</v>
      </c>
      <c r="J65" s="250" t="s">
        <v>1058</v>
      </c>
    </row>
    <row r="66" spans="2:10">
      <c r="B66" s="248">
        <v>3120015</v>
      </c>
      <c r="C66" s="250" t="s">
        <v>47</v>
      </c>
      <c r="D66" s="248" t="s">
        <v>5</v>
      </c>
      <c r="E66" s="2"/>
      <c r="F66" s="2" t="str">
        <f t="shared" si="2"/>
        <v>080-4905-6111</v>
      </c>
      <c r="G66" s="2"/>
      <c r="H66" s="2" t="s">
        <v>48</v>
      </c>
      <c r="I66" s="2"/>
      <c r="J66" s="250"/>
    </row>
    <row r="67" spans="2:10">
      <c r="B67" s="248">
        <v>3106004</v>
      </c>
      <c r="C67" s="248" t="s">
        <v>16</v>
      </c>
      <c r="D67" s="248" t="s">
        <v>5</v>
      </c>
      <c r="E67" s="2"/>
      <c r="F67" s="2" t="str">
        <f t="shared" si="2"/>
        <v>090-3238-0679</v>
      </c>
      <c r="G67" s="2"/>
      <c r="H67" s="2"/>
      <c r="I67" s="2" t="s">
        <v>17</v>
      </c>
      <c r="J67" s="248"/>
    </row>
    <row r="68" spans="2:10">
      <c r="B68" s="248">
        <v>1034461</v>
      </c>
      <c r="C68" s="248" t="s">
        <v>932</v>
      </c>
      <c r="D68" s="248" t="s">
        <v>958</v>
      </c>
      <c r="E68" s="2"/>
      <c r="F68" s="2" t="str">
        <f t="shared" si="2"/>
        <v>080-3936-6183</v>
      </c>
      <c r="G68" s="2"/>
      <c r="H68" s="2"/>
      <c r="I68" s="2" t="s">
        <v>973</v>
      </c>
      <c r="J68" s="248" t="s">
        <v>1059</v>
      </c>
    </row>
    <row r="69" spans="2:10">
      <c r="B69" s="248">
        <v>3105005</v>
      </c>
      <c r="C69" s="248" t="s">
        <v>8</v>
      </c>
      <c r="D69" s="248" t="s">
        <v>958</v>
      </c>
      <c r="E69" s="2"/>
      <c r="F69" s="2" t="str">
        <f t="shared" si="2"/>
        <v>080-3566-8975</v>
      </c>
      <c r="G69" s="2"/>
      <c r="H69" s="2" t="s">
        <v>10</v>
      </c>
      <c r="I69" s="2" t="s">
        <v>11</v>
      </c>
      <c r="J69" s="248"/>
    </row>
    <row r="70" spans="2:10">
      <c r="B70" s="248">
        <v>3108003</v>
      </c>
      <c r="C70" s="248" t="s">
        <v>24</v>
      </c>
      <c r="D70" s="248" t="s">
        <v>958</v>
      </c>
      <c r="E70" s="2"/>
      <c r="F70" s="2" t="str">
        <f t="shared" si="2"/>
        <v>090-1213-2144</v>
      </c>
      <c r="G70" s="2"/>
      <c r="H70" s="2"/>
      <c r="I70" s="2" t="s">
        <v>25</v>
      </c>
      <c r="J70" s="248"/>
    </row>
    <row r="71" spans="2:10">
      <c r="B71" s="248">
        <v>3150025</v>
      </c>
      <c r="C71" s="248" t="s">
        <v>936</v>
      </c>
      <c r="D71" s="248" t="s">
        <v>959</v>
      </c>
      <c r="E71" s="2"/>
      <c r="F71" s="2" t="str">
        <f t="shared" si="2"/>
        <v>090-4241-0567</v>
      </c>
      <c r="G71" s="2"/>
      <c r="H71" s="2"/>
      <c r="I71" s="2" t="s">
        <v>1048</v>
      </c>
      <c r="J71" s="248"/>
    </row>
    <row r="72" spans="2:10">
      <c r="B72" s="248">
        <v>3150023</v>
      </c>
      <c r="C72" s="248" t="s">
        <v>93</v>
      </c>
      <c r="D72" s="248" t="s">
        <v>959</v>
      </c>
      <c r="E72" s="2"/>
      <c r="F72" s="2" t="str">
        <f t="shared" si="2"/>
        <v>090-4855-2641</v>
      </c>
      <c r="G72" s="2"/>
      <c r="H72" s="2"/>
      <c r="I72" s="2" t="s">
        <v>1049</v>
      </c>
      <c r="J72" s="248"/>
    </row>
    <row r="73" spans="2:10">
      <c r="B73" s="248">
        <v>3120008</v>
      </c>
      <c r="C73" s="248" t="s">
        <v>40</v>
      </c>
      <c r="D73" s="248" t="s">
        <v>959</v>
      </c>
      <c r="E73" s="2"/>
      <c r="F73" s="2" t="str">
        <f t="shared" si="2"/>
        <v>080-4373-8694</v>
      </c>
      <c r="G73" s="2"/>
      <c r="H73" s="2" t="s">
        <v>41</v>
      </c>
      <c r="I73" s="2" t="s">
        <v>42</v>
      </c>
      <c r="J73" s="248"/>
    </row>
    <row r="74" spans="2:10">
      <c r="B74" s="248">
        <v>3105004</v>
      </c>
      <c r="C74" s="248" t="s">
        <v>6</v>
      </c>
      <c r="D74" s="248" t="s">
        <v>959</v>
      </c>
      <c r="E74" s="2"/>
      <c r="F74" s="2" t="str">
        <f t="shared" si="2"/>
        <v>090-4938-1866</v>
      </c>
      <c r="G74" s="2"/>
      <c r="H74" s="2"/>
      <c r="I74" s="2" t="s">
        <v>7</v>
      </c>
      <c r="J74" s="248" t="s">
        <v>1058</v>
      </c>
    </row>
    <row r="75" spans="2:10">
      <c r="B75" s="248">
        <v>3140002</v>
      </c>
      <c r="C75" s="248" t="s">
        <v>73</v>
      </c>
      <c r="D75" s="248" t="s">
        <v>959</v>
      </c>
      <c r="E75" s="2"/>
      <c r="F75" s="2" t="str">
        <f t="shared" si="2"/>
        <v>090-9855-5534</v>
      </c>
      <c r="G75" s="2"/>
      <c r="H75" s="2"/>
      <c r="I75" s="2" t="s">
        <v>74</v>
      </c>
      <c r="J75" s="248" t="s">
        <v>1056</v>
      </c>
    </row>
    <row r="76" spans="2:10">
      <c r="B76" s="248">
        <v>3160014</v>
      </c>
      <c r="C76" s="248" t="s">
        <v>861</v>
      </c>
      <c r="D76" s="248" t="s">
        <v>959</v>
      </c>
      <c r="E76" s="2"/>
      <c r="F76" s="2" t="str">
        <f t="shared" si="2"/>
        <v>080-2333-4494</v>
      </c>
      <c r="G76" s="2"/>
      <c r="H76" s="2"/>
      <c r="I76" s="2" t="s">
        <v>982</v>
      </c>
      <c r="J76" s="248" t="s">
        <v>1055</v>
      </c>
    </row>
    <row r="77" spans="2:10">
      <c r="B77" s="248">
        <v>1170793</v>
      </c>
      <c r="C77" s="248" t="s">
        <v>139</v>
      </c>
      <c r="D77" s="248" t="s">
        <v>955</v>
      </c>
      <c r="E77" s="2"/>
      <c r="F77" s="2" t="str">
        <f t="shared" si="2"/>
        <v>080-9819-8256</v>
      </c>
      <c r="G77" s="2"/>
      <c r="H77" s="2"/>
      <c r="I77" s="2" t="s">
        <v>1050</v>
      </c>
      <c r="J77" s="248" t="s">
        <v>1059</v>
      </c>
    </row>
    <row r="78" spans="2:10">
      <c r="B78" s="248">
        <v>3170011</v>
      </c>
      <c r="C78" s="248" t="s">
        <v>945</v>
      </c>
      <c r="D78" s="248" t="s">
        <v>955</v>
      </c>
      <c r="E78" s="2"/>
      <c r="F78" s="2" t="str">
        <f t="shared" si="2"/>
        <v>080-5190-8426</v>
      </c>
      <c r="G78" s="2"/>
      <c r="H78" s="2"/>
      <c r="I78" s="2" t="s">
        <v>1051</v>
      </c>
      <c r="J78" s="248"/>
    </row>
    <row r="79" spans="2:10">
      <c r="B79" s="248">
        <v>3170014</v>
      </c>
      <c r="C79" s="248" t="s">
        <v>947</v>
      </c>
      <c r="D79" s="248" t="s">
        <v>955</v>
      </c>
      <c r="E79" s="2"/>
      <c r="F79" s="2" t="str">
        <f t="shared" si="2"/>
        <v>080-4083-8534</v>
      </c>
      <c r="G79" s="2"/>
      <c r="H79" s="2"/>
      <c r="I79" s="2" t="s">
        <v>1052</v>
      </c>
      <c r="J79" s="248"/>
    </row>
    <row r="80" spans="2:10">
      <c r="B80" s="248"/>
      <c r="C80" s="248"/>
      <c r="D80" s="248"/>
      <c r="E80" s="2"/>
      <c r="F80" s="2"/>
      <c r="G80" s="2"/>
      <c r="H80" s="2"/>
      <c r="I80" s="2"/>
      <c r="J80" s="248"/>
    </row>
    <row r="81" spans="2:10">
      <c r="B81" s="248">
        <v>950378</v>
      </c>
      <c r="C81" s="248" t="s">
        <v>952</v>
      </c>
      <c r="D81" s="248" t="s">
        <v>962</v>
      </c>
      <c r="E81" s="2"/>
      <c r="F81" s="2" t="str">
        <f>IF(H81="",I81,H81)</f>
        <v>070-3852-1849</v>
      </c>
      <c r="G81" s="2"/>
      <c r="H81" s="2" t="s">
        <v>967</v>
      </c>
      <c r="I81" s="2" t="s">
        <v>968</v>
      </c>
      <c r="J81" s="248" t="s">
        <v>1059</v>
      </c>
    </row>
    <row r="82" spans="2:10">
      <c r="B82" s="248">
        <v>3150003</v>
      </c>
      <c r="C82" s="248" t="s">
        <v>78</v>
      </c>
      <c r="D82" s="248" t="s">
        <v>954</v>
      </c>
      <c r="E82" s="2"/>
      <c r="F82" s="2" t="str">
        <f t="shared" si="2"/>
        <v>090-1791-5298</v>
      </c>
      <c r="G82" s="2"/>
      <c r="H82" s="2" t="s">
        <v>79</v>
      </c>
      <c r="I82" s="2" t="s">
        <v>80</v>
      </c>
      <c r="J82" s="248"/>
    </row>
    <row r="83" spans="2:10">
      <c r="B83" s="248">
        <v>3110003</v>
      </c>
      <c r="C83" s="248" t="s">
        <v>28</v>
      </c>
      <c r="D83" s="248" t="s">
        <v>961</v>
      </c>
      <c r="E83" s="2"/>
      <c r="F83" s="2" t="str">
        <f>IF(H83="",I83,H83)</f>
        <v>090-2402-7362</v>
      </c>
      <c r="G83" s="2"/>
      <c r="H83" s="2"/>
      <c r="I83" s="2" t="s">
        <v>985</v>
      </c>
      <c r="J83" s="248"/>
    </row>
    <row r="84" spans="2:10">
      <c r="B84" s="248">
        <v>3130003</v>
      </c>
      <c r="C84" s="248" t="s">
        <v>58</v>
      </c>
      <c r="D84" s="248" t="s">
        <v>959</v>
      </c>
      <c r="E84" s="2"/>
      <c r="F84" s="2" t="str">
        <f t="shared" si="2"/>
        <v>080-2053-5731</v>
      </c>
      <c r="G84" s="2"/>
      <c r="H84" s="2"/>
      <c r="I84" s="2" t="s">
        <v>1053</v>
      </c>
      <c r="J84" s="248"/>
    </row>
    <row r="85" spans="2:10">
      <c r="B85" s="248">
        <v>3106005</v>
      </c>
      <c r="C85" s="248" t="s">
        <v>18</v>
      </c>
      <c r="D85" s="248" t="s">
        <v>964</v>
      </c>
      <c r="E85" s="2"/>
      <c r="F85" s="2" t="str">
        <f>IF(H85="",I85,H85)</f>
        <v>080-3446-7228</v>
      </c>
      <c r="G85" s="2"/>
      <c r="H85" s="2" t="s">
        <v>1001</v>
      </c>
      <c r="I85" s="2" t="s">
        <v>1002</v>
      </c>
      <c r="J85" s="248"/>
    </row>
    <row r="86" spans="2:10">
      <c r="B86" s="248">
        <v>3160028</v>
      </c>
      <c r="C86" s="250" t="s">
        <v>940</v>
      </c>
      <c r="D86" s="248" t="s">
        <v>957</v>
      </c>
      <c r="E86" s="2"/>
      <c r="F86" s="2" t="str">
        <f>IF(H86="",I86,H86)</f>
        <v>070-3836-5522</v>
      </c>
      <c r="G86" s="2"/>
      <c r="H86" s="2" t="s">
        <v>1044</v>
      </c>
      <c r="I86" s="2" t="s">
        <v>1045</v>
      </c>
      <c r="J86" s="250"/>
    </row>
    <row r="87" spans="2:10">
      <c r="B87" s="248">
        <v>3160029</v>
      </c>
      <c r="C87" s="250" t="s">
        <v>941</v>
      </c>
      <c r="D87" s="248" t="s">
        <v>957</v>
      </c>
      <c r="E87" s="2"/>
      <c r="F87" s="2" t="str">
        <f>IF(H87="",I87,H87)</f>
        <v>070-3868-5523</v>
      </c>
      <c r="G87" s="2"/>
      <c r="H87" s="2" t="s">
        <v>976</v>
      </c>
      <c r="I87" s="2" t="s">
        <v>977</v>
      </c>
      <c r="J87" s="250"/>
    </row>
    <row r="88" spans="2:10">
      <c r="B88" s="248">
        <v>3170008</v>
      </c>
      <c r="C88" s="250" t="s">
        <v>943</v>
      </c>
      <c r="D88" s="248" t="s">
        <v>957</v>
      </c>
      <c r="E88" s="2"/>
      <c r="F88" s="2" t="str">
        <f>IF(H88="",I88,H88)</f>
        <v>070-3862-8149</v>
      </c>
      <c r="G88" s="2"/>
      <c r="H88" s="2" t="s">
        <v>1046</v>
      </c>
      <c r="I88" s="2" t="s">
        <v>1054</v>
      </c>
      <c r="J88" s="250" t="s">
        <v>1058</v>
      </c>
    </row>
    <row r="89" spans="2:10">
      <c r="B89" s="248"/>
      <c r="C89" s="248"/>
      <c r="D89" s="248"/>
      <c r="E89" s="2"/>
      <c r="F89" s="2">
        <f t="shared" ref="F89:F91" si="3">IF(H89="",I89,H89)</f>
        <v>0</v>
      </c>
      <c r="G89" s="2"/>
      <c r="H89" s="2"/>
      <c r="I89" s="2"/>
      <c r="J89" s="248"/>
    </row>
    <row r="90" spans="2:10">
      <c r="B90" s="248"/>
      <c r="C90" s="248"/>
      <c r="D90" s="248"/>
      <c r="E90" s="2"/>
      <c r="F90" s="2">
        <f t="shared" si="3"/>
        <v>0</v>
      </c>
      <c r="G90" s="2"/>
      <c r="H90" s="2"/>
      <c r="I90" s="2"/>
      <c r="J90" s="248"/>
    </row>
    <row r="91" spans="2:10">
      <c r="B91" s="248"/>
      <c r="C91" s="248"/>
      <c r="D91" s="248"/>
      <c r="E91" s="2"/>
      <c r="F91" s="2">
        <f t="shared" si="3"/>
        <v>0</v>
      </c>
      <c r="G91" s="2"/>
      <c r="H91" s="2"/>
      <c r="I91" s="2"/>
      <c r="J91" s="248"/>
    </row>
  </sheetData>
  <autoFilter ref="B2:I52">
    <sortState ref="B3:I98">
      <sortCondition ref="D1:D66"/>
    </sortState>
  </autoFilter>
  <phoneticPr fontId="18"/>
  <pageMargins left="0.70866141732283472" right="0.70866141732283472" top="0.43" bottom="0.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9"/>
  <sheetViews>
    <sheetView topLeftCell="B1" zoomScale="115" zoomScaleNormal="115" workbookViewId="0">
      <selection activeCell="E56" sqref="E56"/>
    </sheetView>
  </sheetViews>
  <sheetFormatPr defaultColWidth="8.875" defaultRowHeight="10.5"/>
  <cols>
    <col min="1" max="1" width="3.625" style="11" customWidth="1"/>
    <col min="2" max="2" width="9.125" style="11" bestFit="1" customWidth="1"/>
    <col min="3" max="3" width="14.5" style="11" customWidth="1"/>
    <col min="4" max="4" width="16.5" style="11" bestFit="1" customWidth="1"/>
    <col min="5" max="5" width="18.5" style="11" customWidth="1"/>
    <col min="6" max="6" width="34.25" style="11" bestFit="1" customWidth="1"/>
    <col min="7" max="7" width="13.5" style="11" customWidth="1"/>
    <col min="8" max="8" width="10.25" style="11" bestFit="1" customWidth="1"/>
    <col min="9" max="9" width="19.125" style="11" bestFit="1" customWidth="1"/>
    <col min="10" max="10" width="11.375" style="11" bestFit="1" customWidth="1"/>
    <col min="11" max="11" width="31.125" style="14" customWidth="1"/>
    <col min="12" max="16384" width="8.875" style="11"/>
  </cols>
  <sheetData>
    <row r="1" spans="1:11" ht="9" customHeight="1">
      <c r="A1" s="265" t="s">
        <v>140</v>
      </c>
      <c r="B1" s="265"/>
      <c r="C1" s="265"/>
      <c r="D1" s="265"/>
      <c r="F1" s="11" t="s">
        <v>141</v>
      </c>
      <c r="G1" s="12"/>
      <c r="H1" s="13"/>
    </row>
    <row r="2" spans="1:11" ht="9" customHeight="1">
      <c r="A2" s="265"/>
      <c r="B2" s="265"/>
      <c r="C2" s="265"/>
      <c r="D2" s="265"/>
      <c r="F2" s="15" t="s">
        <v>142</v>
      </c>
      <c r="G2" s="12"/>
      <c r="H2" s="16"/>
    </row>
    <row r="3" spans="1:11" ht="9" customHeight="1">
      <c r="A3" s="265"/>
      <c r="B3" s="265"/>
      <c r="C3" s="265"/>
      <c r="D3" s="265"/>
      <c r="F3" s="11" t="s">
        <v>143</v>
      </c>
      <c r="G3" s="12"/>
      <c r="H3" s="16"/>
    </row>
    <row r="4" spans="1:11" ht="16.149999999999999" customHeight="1">
      <c r="A4" s="17" t="s">
        <v>144</v>
      </c>
      <c r="B4" s="17" t="s">
        <v>145</v>
      </c>
      <c r="C4" s="18" t="s">
        <v>146</v>
      </c>
      <c r="D4" s="18" t="s">
        <v>147</v>
      </c>
      <c r="E4" s="18" t="s">
        <v>148</v>
      </c>
      <c r="F4" s="17" t="s">
        <v>149</v>
      </c>
      <c r="G4" s="17" t="s">
        <v>150</v>
      </c>
      <c r="H4" s="19" t="s">
        <v>151</v>
      </c>
      <c r="I4" s="20" t="s">
        <v>152</v>
      </c>
      <c r="J4" s="19" t="s">
        <v>153</v>
      </c>
      <c r="K4" s="21" t="s">
        <v>154</v>
      </c>
    </row>
    <row r="5" spans="1:11">
      <c r="A5" s="22">
        <v>1</v>
      </c>
      <c r="B5" s="22" t="s">
        <v>155</v>
      </c>
      <c r="C5" s="23" t="s">
        <v>156</v>
      </c>
      <c r="D5" s="24" t="s">
        <v>157</v>
      </c>
      <c r="E5" s="24" t="s">
        <v>158</v>
      </c>
      <c r="F5" s="25" t="s">
        <v>159</v>
      </c>
      <c r="G5" s="26"/>
      <c r="H5" s="27" t="s">
        <v>160</v>
      </c>
      <c r="I5" s="28" t="s">
        <v>161</v>
      </c>
      <c r="J5" s="29" t="s">
        <v>162</v>
      </c>
      <c r="K5" s="30"/>
    </row>
    <row r="6" spans="1:11">
      <c r="A6" s="22">
        <v>2</v>
      </c>
      <c r="B6" s="22" t="s">
        <v>155</v>
      </c>
      <c r="C6" s="23" t="s">
        <v>156</v>
      </c>
      <c r="D6" s="24" t="s">
        <v>163</v>
      </c>
      <c r="E6" s="23" t="s">
        <v>164</v>
      </c>
      <c r="F6" s="29" t="s">
        <v>165</v>
      </c>
      <c r="G6" s="26"/>
      <c r="H6" s="27" t="s">
        <v>160</v>
      </c>
      <c r="I6" s="28"/>
      <c r="J6" s="29"/>
      <c r="K6" s="30"/>
    </row>
    <row r="7" spans="1:11">
      <c r="A7" s="22">
        <v>3</v>
      </c>
      <c r="B7" s="22" t="s">
        <v>155</v>
      </c>
      <c r="C7" s="23" t="s">
        <v>166</v>
      </c>
      <c r="D7" s="24" t="s">
        <v>167</v>
      </c>
      <c r="E7" s="23" t="s">
        <v>168</v>
      </c>
      <c r="F7" s="29" t="s">
        <v>169</v>
      </c>
      <c r="G7" s="26"/>
      <c r="H7" s="27" t="s">
        <v>170</v>
      </c>
      <c r="I7" s="28" t="s">
        <v>171</v>
      </c>
      <c r="J7" s="29" t="s">
        <v>162</v>
      </c>
      <c r="K7" s="30"/>
    </row>
    <row r="8" spans="1:11">
      <c r="A8" s="22">
        <v>4</v>
      </c>
      <c r="B8" s="22" t="s">
        <v>155</v>
      </c>
      <c r="C8" s="23" t="s">
        <v>156</v>
      </c>
      <c r="D8" s="24" t="s">
        <v>172</v>
      </c>
      <c r="E8" s="23" t="s">
        <v>173</v>
      </c>
      <c r="F8" s="29" t="s">
        <v>174</v>
      </c>
      <c r="G8" s="26"/>
      <c r="H8" s="27" t="s">
        <v>160</v>
      </c>
      <c r="I8" s="28" t="s">
        <v>175</v>
      </c>
      <c r="J8" s="29" t="s">
        <v>162</v>
      </c>
      <c r="K8" s="30"/>
    </row>
    <row r="9" spans="1:11">
      <c r="A9" s="22">
        <v>5</v>
      </c>
      <c r="B9" s="22" t="s">
        <v>155</v>
      </c>
      <c r="C9" s="23" t="s">
        <v>156</v>
      </c>
      <c r="D9" s="24" t="s">
        <v>176</v>
      </c>
      <c r="E9" s="23" t="s">
        <v>177</v>
      </c>
      <c r="F9" s="29" t="s">
        <v>178</v>
      </c>
      <c r="G9" s="26"/>
      <c r="H9" s="27" t="s">
        <v>160</v>
      </c>
      <c r="I9" s="28" t="s">
        <v>179</v>
      </c>
      <c r="J9" s="29" t="s">
        <v>162</v>
      </c>
      <c r="K9" s="30"/>
    </row>
    <row r="10" spans="1:11" s="35" customFormat="1">
      <c r="A10" s="22">
        <v>6</v>
      </c>
      <c r="B10" s="22" t="s">
        <v>155</v>
      </c>
      <c r="C10" s="31" t="s">
        <v>156</v>
      </c>
      <c r="D10" s="32" t="s">
        <v>180</v>
      </c>
      <c r="E10" s="31" t="s">
        <v>181</v>
      </c>
      <c r="F10" s="29" t="s">
        <v>182</v>
      </c>
      <c r="G10" s="26" t="s">
        <v>183</v>
      </c>
      <c r="H10" s="27" t="s">
        <v>160</v>
      </c>
      <c r="I10" s="28" t="s">
        <v>184</v>
      </c>
      <c r="J10" s="33" t="s">
        <v>162</v>
      </c>
      <c r="K10" s="34"/>
    </row>
    <row r="11" spans="1:11">
      <c r="A11" s="22">
        <v>7</v>
      </c>
      <c r="B11" s="22" t="s">
        <v>155</v>
      </c>
      <c r="C11" s="23" t="s">
        <v>156</v>
      </c>
      <c r="D11" s="24" t="s">
        <v>185</v>
      </c>
      <c r="E11" s="23" t="s">
        <v>186</v>
      </c>
      <c r="F11" s="25" t="s">
        <v>187</v>
      </c>
      <c r="G11" s="26"/>
      <c r="H11" s="27" t="s">
        <v>160</v>
      </c>
      <c r="I11" s="28" t="s">
        <v>188</v>
      </c>
      <c r="J11" s="29" t="s">
        <v>162</v>
      </c>
      <c r="K11" s="30"/>
    </row>
    <row r="12" spans="1:11">
      <c r="A12" s="22">
        <v>8</v>
      </c>
      <c r="B12" s="22" t="s">
        <v>155</v>
      </c>
      <c r="C12" s="23" t="s">
        <v>156</v>
      </c>
      <c r="D12" s="24" t="s">
        <v>189</v>
      </c>
      <c r="E12" s="24" t="s">
        <v>190</v>
      </c>
      <c r="F12" s="25" t="s">
        <v>191</v>
      </c>
      <c r="G12" s="26"/>
      <c r="H12" s="27" t="s">
        <v>192</v>
      </c>
      <c r="I12" s="28" t="s">
        <v>193</v>
      </c>
      <c r="J12" s="29" t="s">
        <v>162</v>
      </c>
      <c r="K12" s="30"/>
    </row>
    <row r="13" spans="1:11">
      <c r="A13" s="22">
        <v>9</v>
      </c>
      <c r="B13" s="22" t="s">
        <v>155</v>
      </c>
      <c r="C13" s="23" t="s">
        <v>156</v>
      </c>
      <c r="D13" s="24" t="s">
        <v>194</v>
      </c>
      <c r="E13" s="23" t="s">
        <v>195</v>
      </c>
      <c r="F13" s="29" t="s">
        <v>196</v>
      </c>
      <c r="G13" s="26"/>
      <c r="H13" s="27" t="s">
        <v>192</v>
      </c>
      <c r="I13" s="28" t="s">
        <v>197</v>
      </c>
      <c r="J13" s="29" t="s">
        <v>162</v>
      </c>
      <c r="K13" s="30"/>
    </row>
    <row r="14" spans="1:11">
      <c r="A14" s="22">
        <v>10</v>
      </c>
      <c r="B14" s="22" t="s">
        <v>155</v>
      </c>
      <c r="C14" s="23" t="s">
        <v>156</v>
      </c>
      <c r="D14" s="24" t="s">
        <v>198</v>
      </c>
      <c r="E14" s="23" t="s">
        <v>199</v>
      </c>
      <c r="F14" s="28" t="s">
        <v>109</v>
      </c>
      <c r="G14" s="26"/>
      <c r="H14" s="27" t="s">
        <v>192</v>
      </c>
      <c r="I14" s="28" t="s">
        <v>200</v>
      </c>
      <c r="J14" s="29" t="s">
        <v>162</v>
      </c>
      <c r="K14" s="30"/>
    </row>
    <row r="15" spans="1:11">
      <c r="A15" s="22">
        <v>11</v>
      </c>
      <c r="B15" s="22" t="s">
        <v>155</v>
      </c>
      <c r="C15" s="23" t="s">
        <v>201</v>
      </c>
      <c r="D15" s="24" t="s">
        <v>202</v>
      </c>
      <c r="E15" s="23" t="s">
        <v>203</v>
      </c>
      <c r="F15" s="28" t="s">
        <v>204</v>
      </c>
      <c r="G15" s="26"/>
      <c r="H15" s="27" t="s">
        <v>192</v>
      </c>
      <c r="I15" s="28" t="s">
        <v>205</v>
      </c>
      <c r="J15" s="29" t="s">
        <v>162</v>
      </c>
      <c r="K15" s="34"/>
    </row>
    <row r="16" spans="1:11">
      <c r="A16" s="22">
        <v>12</v>
      </c>
      <c r="B16" s="22" t="s">
        <v>155</v>
      </c>
      <c r="C16" s="23" t="s">
        <v>156</v>
      </c>
      <c r="D16" s="24" t="s">
        <v>206</v>
      </c>
      <c r="E16" s="23" t="s">
        <v>207</v>
      </c>
      <c r="F16" s="28" t="s">
        <v>208</v>
      </c>
      <c r="G16" s="26"/>
      <c r="H16" s="27" t="s">
        <v>192</v>
      </c>
      <c r="I16" s="28" t="s">
        <v>209</v>
      </c>
      <c r="J16" s="29" t="s">
        <v>210</v>
      </c>
      <c r="K16" s="30"/>
    </row>
    <row r="17" spans="1:11" s="44" customFormat="1">
      <c r="A17" s="36">
        <v>13</v>
      </c>
      <c r="B17" s="36" t="s">
        <v>155</v>
      </c>
      <c r="C17" s="37" t="s">
        <v>211</v>
      </c>
      <c r="D17" s="38" t="s">
        <v>212</v>
      </c>
      <c r="E17" s="37" t="s">
        <v>213</v>
      </c>
      <c r="F17" s="39" t="s">
        <v>214</v>
      </c>
      <c r="G17" s="40"/>
      <c r="H17" s="41" t="s">
        <v>192</v>
      </c>
      <c r="I17" s="39" t="s">
        <v>215</v>
      </c>
      <c r="J17" s="42" t="s">
        <v>210</v>
      </c>
      <c r="K17" s="43"/>
    </row>
    <row r="18" spans="1:11">
      <c r="A18" s="22">
        <v>14</v>
      </c>
      <c r="B18" s="22" t="s">
        <v>155</v>
      </c>
      <c r="C18" s="23" t="s">
        <v>156</v>
      </c>
      <c r="D18" s="24" t="s">
        <v>216</v>
      </c>
      <c r="E18" s="23" t="s">
        <v>217</v>
      </c>
      <c r="F18" s="25" t="s">
        <v>218</v>
      </c>
      <c r="G18" s="26"/>
      <c r="H18" s="27" t="s">
        <v>192</v>
      </c>
      <c r="I18" s="28" t="s">
        <v>219</v>
      </c>
      <c r="J18" s="29" t="s">
        <v>210</v>
      </c>
      <c r="K18" s="30"/>
    </row>
    <row r="19" spans="1:11" s="35" customFormat="1">
      <c r="A19" s="22">
        <v>15</v>
      </c>
      <c r="B19" s="22" t="s">
        <v>155</v>
      </c>
      <c r="C19" s="31" t="s">
        <v>156</v>
      </c>
      <c r="D19" s="32" t="s">
        <v>220</v>
      </c>
      <c r="E19" s="31" t="s">
        <v>221</v>
      </c>
      <c r="F19" s="29" t="s">
        <v>222</v>
      </c>
      <c r="G19" s="26" t="s">
        <v>223</v>
      </c>
      <c r="H19" s="27" t="s">
        <v>192</v>
      </c>
      <c r="I19" s="28" t="s">
        <v>224</v>
      </c>
      <c r="J19" s="33" t="s">
        <v>210</v>
      </c>
      <c r="K19" s="34"/>
    </row>
    <row r="20" spans="1:11">
      <c r="A20" s="22">
        <v>16</v>
      </c>
      <c r="B20" s="22" t="s">
        <v>155</v>
      </c>
      <c r="C20" s="23" t="s">
        <v>156</v>
      </c>
      <c r="D20" s="24" t="s">
        <v>225</v>
      </c>
      <c r="E20" s="23" t="s">
        <v>226</v>
      </c>
      <c r="F20" s="25" t="s">
        <v>227</v>
      </c>
      <c r="G20" s="26"/>
      <c r="H20" s="27" t="s">
        <v>192</v>
      </c>
      <c r="I20" s="28" t="s">
        <v>228</v>
      </c>
      <c r="J20" s="29" t="s">
        <v>210</v>
      </c>
      <c r="K20" s="30"/>
    </row>
    <row r="21" spans="1:11">
      <c r="A21" s="22">
        <v>17</v>
      </c>
      <c r="B21" s="22" t="s">
        <v>155</v>
      </c>
      <c r="C21" s="23" t="s">
        <v>156</v>
      </c>
      <c r="D21" s="24" t="s">
        <v>229</v>
      </c>
      <c r="E21" s="23" t="s">
        <v>230</v>
      </c>
      <c r="F21" s="25" t="s">
        <v>231</v>
      </c>
      <c r="G21" s="26"/>
      <c r="H21" s="27" t="s">
        <v>192</v>
      </c>
      <c r="I21" s="28" t="s">
        <v>232</v>
      </c>
      <c r="J21" s="29" t="s">
        <v>210</v>
      </c>
      <c r="K21" s="30"/>
    </row>
    <row r="22" spans="1:11">
      <c r="A22" s="22">
        <v>18</v>
      </c>
      <c r="B22" s="22" t="s">
        <v>155</v>
      </c>
      <c r="C22" s="23" t="s">
        <v>156</v>
      </c>
      <c r="D22" s="24" t="s">
        <v>233</v>
      </c>
      <c r="E22" s="23" t="s">
        <v>234</v>
      </c>
      <c r="F22" s="25" t="s">
        <v>235</v>
      </c>
      <c r="G22" s="26"/>
      <c r="H22" s="27" t="s">
        <v>192</v>
      </c>
      <c r="I22" s="28" t="s">
        <v>236</v>
      </c>
      <c r="J22" s="29" t="s">
        <v>210</v>
      </c>
      <c r="K22" s="30"/>
    </row>
    <row r="23" spans="1:11">
      <c r="A23" s="22">
        <v>19</v>
      </c>
      <c r="B23" s="22" t="s">
        <v>155</v>
      </c>
      <c r="C23" s="23" t="s">
        <v>156</v>
      </c>
      <c r="D23" s="24" t="s">
        <v>237</v>
      </c>
      <c r="E23" s="23" t="s">
        <v>238</v>
      </c>
      <c r="F23" s="25" t="s">
        <v>239</v>
      </c>
      <c r="G23" s="26"/>
      <c r="H23" s="27" t="s">
        <v>192</v>
      </c>
      <c r="I23" s="28"/>
      <c r="J23" s="29"/>
      <c r="K23" s="30"/>
    </row>
    <row r="24" spans="1:11">
      <c r="A24" s="22">
        <v>20</v>
      </c>
      <c r="B24" s="22" t="s">
        <v>155</v>
      </c>
      <c r="C24" s="23" t="s">
        <v>156</v>
      </c>
      <c r="D24" s="24" t="s">
        <v>240</v>
      </c>
      <c r="E24" s="23" t="s">
        <v>241</v>
      </c>
      <c r="F24" s="25" t="s">
        <v>242</v>
      </c>
      <c r="G24" s="26"/>
      <c r="H24" s="27" t="s">
        <v>192</v>
      </c>
      <c r="I24" s="28" t="s">
        <v>243</v>
      </c>
      <c r="J24" s="29" t="s">
        <v>210</v>
      </c>
      <c r="K24" s="30"/>
    </row>
    <row r="25" spans="1:11">
      <c r="A25" s="22">
        <v>21</v>
      </c>
      <c r="B25" s="22" t="s">
        <v>155</v>
      </c>
      <c r="C25" s="23" t="s">
        <v>156</v>
      </c>
      <c r="D25" s="24" t="s">
        <v>244</v>
      </c>
      <c r="E25" s="23" t="s">
        <v>245</v>
      </c>
      <c r="F25" s="25" t="s">
        <v>246</v>
      </c>
      <c r="G25" s="26"/>
      <c r="H25" s="27" t="s">
        <v>192</v>
      </c>
      <c r="I25" s="28" t="s">
        <v>247</v>
      </c>
      <c r="J25" s="29" t="s">
        <v>210</v>
      </c>
      <c r="K25" s="30"/>
    </row>
    <row r="26" spans="1:11">
      <c r="A26" s="22">
        <v>22</v>
      </c>
      <c r="B26" s="22" t="s">
        <v>155</v>
      </c>
      <c r="C26" s="23" t="s">
        <v>248</v>
      </c>
      <c r="D26" s="24" t="s">
        <v>249</v>
      </c>
      <c r="E26" s="23" t="s">
        <v>250</v>
      </c>
      <c r="F26" s="25" t="s">
        <v>251</v>
      </c>
      <c r="G26" s="27"/>
      <c r="H26" s="27" t="s">
        <v>252</v>
      </c>
      <c r="I26" s="28" t="s">
        <v>253</v>
      </c>
      <c r="J26" s="29" t="s">
        <v>210</v>
      </c>
      <c r="K26" s="34"/>
    </row>
    <row r="27" spans="1:11">
      <c r="A27" s="22">
        <v>23</v>
      </c>
      <c r="B27" s="22" t="s">
        <v>155</v>
      </c>
      <c r="C27" s="23" t="s">
        <v>156</v>
      </c>
      <c r="D27" s="24" t="s">
        <v>254</v>
      </c>
      <c r="E27" s="23" t="s">
        <v>255</v>
      </c>
      <c r="F27" s="25" t="s">
        <v>256</v>
      </c>
      <c r="G27" s="26"/>
      <c r="H27" s="27" t="s">
        <v>192</v>
      </c>
      <c r="I27" s="28" t="s">
        <v>257</v>
      </c>
      <c r="J27" s="29" t="s">
        <v>210</v>
      </c>
      <c r="K27" s="30"/>
    </row>
    <row r="28" spans="1:11">
      <c r="A28" s="22">
        <v>24</v>
      </c>
      <c r="B28" s="22" t="s">
        <v>155</v>
      </c>
      <c r="C28" s="23" t="s">
        <v>156</v>
      </c>
      <c r="D28" s="32" t="s">
        <v>258</v>
      </c>
      <c r="E28" s="31" t="s">
        <v>259</v>
      </c>
      <c r="F28" s="29" t="s">
        <v>260</v>
      </c>
      <c r="G28" s="26"/>
      <c r="H28" s="27" t="s">
        <v>192</v>
      </c>
      <c r="I28" s="28" t="s">
        <v>261</v>
      </c>
      <c r="J28" s="29" t="s">
        <v>210</v>
      </c>
      <c r="K28" s="30"/>
    </row>
    <row r="29" spans="1:11">
      <c r="A29" s="22">
        <v>25</v>
      </c>
      <c r="B29" s="22" t="s">
        <v>155</v>
      </c>
      <c r="C29" s="23" t="s">
        <v>156</v>
      </c>
      <c r="D29" s="24" t="s">
        <v>262</v>
      </c>
      <c r="E29" s="23" t="s">
        <v>263</v>
      </c>
      <c r="F29" s="25" t="s">
        <v>264</v>
      </c>
      <c r="G29" s="26"/>
      <c r="H29" s="27" t="s">
        <v>192</v>
      </c>
      <c r="I29" s="28" t="s">
        <v>264</v>
      </c>
      <c r="J29" s="29" t="s">
        <v>210</v>
      </c>
      <c r="K29" s="30"/>
    </row>
    <row r="30" spans="1:11">
      <c r="A30" s="22">
        <v>26</v>
      </c>
      <c r="B30" s="22" t="s">
        <v>155</v>
      </c>
      <c r="C30" s="23" t="s">
        <v>156</v>
      </c>
      <c r="D30" s="24" t="s">
        <v>265</v>
      </c>
      <c r="E30" s="31" t="s">
        <v>266</v>
      </c>
      <c r="F30" s="25" t="s">
        <v>267</v>
      </c>
      <c r="G30" s="26"/>
      <c r="H30" s="27" t="s">
        <v>192</v>
      </c>
      <c r="I30" s="28"/>
      <c r="J30" s="29" t="s">
        <v>210</v>
      </c>
      <c r="K30" s="30"/>
    </row>
    <row r="31" spans="1:11">
      <c r="A31" s="22">
        <v>27</v>
      </c>
      <c r="B31" s="22" t="s">
        <v>155</v>
      </c>
      <c r="C31" s="23" t="s">
        <v>156</v>
      </c>
      <c r="D31" s="24" t="s">
        <v>268</v>
      </c>
      <c r="E31" s="23" t="s">
        <v>269</v>
      </c>
      <c r="F31" s="25" t="s">
        <v>270</v>
      </c>
      <c r="G31" s="26"/>
      <c r="H31" s="27" t="s">
        <v>192</v>
      </c>
      <c r="I31" s="28"/>
      <c r="J31" s="29"/>
      <c r="K31" s="30"/>
    </row>
    <row r="32" spans="1:11">
      <c r="A32" s="22">
        <v>28</v>
      </c>
      <c r="B32" s="22" t="s">
        <v>155</v>
      </c>
      <c r="C32" s="23" t="s">
        <v>156</v>
      </c>
      <c r="D32" s="24" t="s">
        <v>271</v>
      </c>
      <c r="E32" s="23" t="s">
        <v>272</v>
      </c>
      <c r="F32" s="25" t="s">
        <v>273</v>
      </c>
      <c r="G32" s="26"/>
      <c r="H32" s="27" t="s">
        <v>274</v>
      </c>
      <c r="I32" s="28"/>
      <c r="J32" s="29"/>
      <c r="K32" s="30"/>
    </row>
    <row r="33" spans="1:11">
      <c r="A33" s="22">
        <v>29</v>
      </c>
      <c r="B33" s="22" t="s">
        <v>155</v>
      </c>
      <c r="C33" s="23" t="s">
        <v>275</v>
      </c>
      <c r="D33" s="24" t="s">
        <v>276</v>
      </c>
      <c r="E33" s="23" t="s">
        <v>277</v>
      </c>
      <c r="F33" s="25" t="s">
        <v>278</v>
      </c>
      <c r="G33" s="26"/>
      <c r="H33" s="27" t="s">
        <v>192</v>
      </c>
      <c r="I33" s="28" t="s">
        <v>279</v>
      </c>
      <c r="J33" s="29" t="s">
        <v>210</v>
      </c>
      <c r="K33" s="34"/>
    </row>
    <row r="34" spans="1:11">
      <c r="A34" s="22">
        <v>30</v>
      </c>
      <c r="B34" s="22" t="s">
        <v>155</v>
      </c>
      <c r="C34" s="23" t="s">
        <v>275</v>
      </c>
      <c r="D34" s="24" t="s">
        <v>280</v>
      </c>
      <c r="E34" s="23" t="s">
        <v>281</v>
      </c>
      <c r="F34" s="25" t="s">
        <v>282</v>
      </c>
      <c r="G34" s="26"/>
      <c r="H34" s="27" t="s">
        <v>192</v>
      </c>
      <c r="I34" s="28" t="s">
        <v>209</v>
      </c>
      <c r="J34" s="29" t="s">
        <v>210</v>
      </c>
      <c r="K34" s="34"/>
    </row>
    <row r="35" spans="1:11">
      <c r="A35" s="22">
        <v>31</v>
      </c>
      <c r="B35" s="22" t="s">
        <v>155</v>
      </c>
      <c r="C35" s="23" t="s">
        <v>156</v>
      </c>
      <c r="D35" s="24" t="s">
        <v>283</v>
      </c>
      <c r="E35" s="23" t="s">
        <v>284</v>
      </c>
      <c r="F35" s="29" t="s">
        <v>285</v>
      </c>
      <c r="G35" s="26"/>
      <c r="H35" s="27" t="s">
        <v>192</v>
      </c>
      <c r="I35" s="28" t="s">
        <v>286</v>
      </c>
      <c r="J35" s="29" t="s">
        <v>210</v>
      </c>
      <c r="K35" s="34"/>
    </row>
    <row r="36" spans="1:11">
      <c r="A36" s="22">
        <v>32</v>
      </c>
      <c r="B36" s="22" t="s">
        <v>155</v>
      </c>
      <c r="C36" s="23" t="s">
        <v>156</v>
      </c>
      <c r="D36" s="24" t="s">
        <v>287</v>
      </c>
      <c r="E36" s="23" t="s">
        <v>288</v>
      </c>
      <c r="F36" s="25" t="s">
        <v>289</v>
      </c>
      <c r="G36" s="26"/>
      <c r="H36" s="27" t="s">
        <v>192</v>
      </c>
      <c r="I36" s="28" t="s">
        <v>290</v>
      </c>
      <c r="J36" s="29" t="s">
        <v>210</v>
      </c>
      <c r="K36" s="34"/>
    </row>
    <row r="37" spans="1:11">
      <c r="A37" s="22">
        <v>33</v>
      </c>
      <c r="B37" s="22" t="s">
        <v>155</v>
      </c>
      <c r="C37" s="23" t="s">
        <v>275</v>
      </c>
      <c r="D37" s="24" t="s">
        <v>291</v>
      </c>
      <c r="E37" s="23" t="s">
        <v>292</v>
      </c>
      <c r="F37" s="25" t="s">
        <v>293</v>
      </c>
      <c r="G37" s="26"/>
      <c r="H37" s="27" t="s">
        <v>294</v>
      </c>
      <c r="I37" s="28" t="s">
        <v>295</v>
      </c>
      <c r="J37" s="29" t="s">
        <v>210</v>
      </c>
      <c r="K37" s="34"/>
    </row>
    <row r="38" spans="1:11" s="53" customFormat="1">
      <c r="A38" s="45">
        <v>34</v>
      </c>
      <c r="B38" s="45" t="s">
        <v>155</v>
      </c>
      <c r="C38" s="46" t="s">
        <v>296</v>
      </c>
      <c r="D38" s="47" t="s">
        <v>297</v>
      </c>
      <c r="E38" s="48"/>
      <c r="F38" s="49" t="s">
        <v>298</v>
      </c>
      <c r="G38" s="48" t="s">
        <v>299</v>
      </c>
      <c r="H38" s="50" t="s">
        <v>300</v>
      </c>
      <c r="I38" s="51" t="s">
        <v>301</v>
      </c>
      <c r="J38" s="48" t="s">
        <v>210</v>
      </c>
      <c r="K38" s="52" t="s">
        <v>302</v>
      </c>
    </row>
    <row r="39" spans="1:11">
      <c r="A39" s="22">
        <v>35</v>
      </c>
      <c r="B39" s="22" t="s">
        <v>155</v>
      </c>
      <c r="C39" s="23" t="s">
        <v>296</v>
      </c>
      <c r="D39" s="24" t="s">
        <v>303</v>
      </c>
      <c r="E39" s="28" t="s">
        <v>304</v>
      </c>
      <c r="F39" s="54" t="s">
        <v>305</v>
      </c>
      <c r="G39" s="26"/>
      <c r="H39" s="55" t="s">
        <v>300</v>
      </c>
      <c r="I39" s="28" t="s">
        <v>306</v>
      </c>
      <c r="J39" s="29" t="s">
        <v>210</v>
      </c>
      <c r="K39" s="30"/>
    </row>
    <row r="40" spans="1:11">
      <c r="A40" s="22">
        <v>36</v>
      </c>
      <c r="B40" s="22" t="s">
        <v>155</v>
      </c>
      <c r="C40" s="23" t="s">
        <v>307</v>
      </c>
      <c r="D40" s="24" t="s">
        <v>308</v>
      </c>
      <c r="E40" s="23" t="s">
        <v>309</v>
      </c>
      <c r="F40" s="56" t="s">
        <v>310</v>
      </c>
      <c r="G40" s="26"/>
      <c r="H40" s="57" t="s">
        <v>311</v>
      </c>
      <c r="I40" s="28" t="s">
        <v>312</v>
      </c>
      <c r="J40" s="29" t="s">
        <v>210</v>
      </c>
      <c r="K40" s="30"/>
    </row>
    <row r="41" spans="1:11">
      <c r="A41" s="22">
        <v>37</v>
      </c>
      <c r="B41" s="22" t="s">
        <v>155</v>
      </c>
      <c r="C41" s="23" t="s">
        <v>211</v>
      </c>
      <c r="D41" s="24" t="s">
        <v>313</v>
      </c>
      <c r="E41" s="23" t="s">
        <v>314</v>
      </c>
      <c r="F41" s="58" t="s">
        <v>315</v>
      </c>
      <c r="G41" s="26"/>
      <c r="H41" s="57" t="s">
        <v>316</v>
      </c>
      <c r="I41" s="29" t="s">
        <v>317</v>
      </c>
      <c r="J41" s="29" t="s">
        <v>210</v>
      </c>
      <c r="K41" s="30"/>
    </row>
    <row r="42" spans="1:11" s="35" customFormat="1">
      <c r="A42" s="22">
        <v>38</v>
      </c>
      <c r="B42" s="22" t="s">
        <v>155</v>
      </c>
      <c r="C42" s="23" t="s">
        <v>156</v>
      </c>
      <c r="D42" s="24" t="s">
        <v>318</v>
      </c>
      <c r="E42" s="31" t="s">
        <v>319</v>
      </c>
      <c r="F42" s="29" t="s">
        <v>320</v>
      </c>
      <c r="G42" s="26" t="s">
        <v>321</v>
      </c>
      <c r="H42" s="27" t="s">
        <v>192</v>
      </c>
      <c r="I42" s="29" t="s">
        <v>322</v>
      </c>
      <c r="J42" s="29" t="s">
        <v>210</v>
      </c>
      <c r="K42" s="34"/>
    </row>
    <row r="43" spans="1:11" s="35" customFormat="1">
      <c r="A43" s="22">
        <v>39</v>
      </c>
      <c r="B43" s="22" t="s">
        <v>155</v>
      </c>
      <c r="C43" s="23" t="s">
        <v>211</v>
      </c>
      <c r="D43" s="24" t="s">
        <v>323</v>
      </c>
      <c r="E43" s="31" t="s">
        <v>324</v>
      </c>
      <c r="F43" s="29" t="s">
        <v>325</v>
      </c>
      <c r="G43" s="27"/>
      <c r="H43" s="27" t="s">
        <v>294</v>
      </c>
      <c r="I43" s="29" t="s">
        <v>326</v>
      </c>
      <c r="J43" s="29" t="s">
        <v>210</v>
      </c>
      <c r="K43" s="34"/>
    </row>
    <row r="44" spans="1:11" s="35" customFormat="1">
      <c r="A44" s="22">
        <v>40</v>
      </c>
      <c r="B44" s="22" t="s">
        <v>155</v>
      </c>
      <c r="C44" s="31" t="s">
        <v>156</v>
      </c>
      <c r="D44" s="32" t="s">
        <v>327</v>
      </c>
      <c r="E44" s="31" t="s">
        <v>328</v>
      </c>
      <c r="F44" s="29" t="s">
        <v>329</v>
      </c>
      <c r="G44" s="34" t="s">
        <v>330</v>
      </c>
      <c r="H44" s="27" t="s">
        <v>252</v>
      </c>
      <c r="I44" s="29" t="s">
        <v>331</v>
      </c>
      <c r="J44" s="33" t="s">
        <v>210</v>
      </c>
      <c r="K44" s="34"/>
    </row>
    <row r="45" spans="1:11" s="35" customFormat="1">
      <c r="A45" s="22">
        <v>41</v>
      </c>
      <c r="B45" s="22" t="s">
        <v>155</v>
      </c>
      <c r="C45" s="23" t="s">
        <v>211</v>
      </c>
      <c r="D45" s="32" t="s">
        <v>332</v>
      </c>
      <c r="E45" s="31" t="s">
        <v>333</v>
      </c>
      <c r="F45" s="29" t="s">
        <v>334</v>
      </c>
      <c r="G45" s="26"/>
      <c r="H45" s="27" t="s">
        <v>252</v>
      </c>
      <c r="I45" s="29" t="s">
        <v>335</v>
      </c>
      <c r="J45" s="29" t="s">
        <v>210</v>
      </c>
      <c r="K45" s="34"/>
    </row>
    <row r="46" spans="1:11" s="35" customFormat="1">
      <c r="A46" s="22">
        <v>42</v>
      </c>
      <c r="B46" s="22" t="s">
        <v>155</v>
      </c>
      <c r="C46" s="23" t="s">
        <v>211</v>
      </c>
      <c r="D46" s="32" t="s">
        <v>336</v>
      </c>
      <c r="E46" s="31" t="s">
        <v>337</v>
      </c>
      <c r="F46" s="29" t="s">
        <v>338</v>
      </c>
      <c r="G46" s="26"/>
      <c r="H46" s="27" t="s">
        <v>339</v>
      </c>
      <c r="I46" s="29" t="s">
        <v>340</v>
      </c>
      <c r="J46" s="29" t="s">
        <v>210</v>
      </c>
      <c r="K46" s="34"/>
    </row>
    <row r="47" spans="1:11" s="35" customFormat="1">
      <c r="A47" s="22">
        <v>43</v>
      </c>
      <c r="B47" s="22" t="s">
        <v>155</v>
      </c>
      <c r="C47" s="31" t="s">
        <v>211</v>
      </c>
      <c r="D47" s="32" t="s">
        <v>341</v>
      </c>
      <c r="E47" s="31" t="s">
        <v>342</v>
      </c>
      <c r="F47" s="33" t="s">
        <v>343</v>
      </c>
      <c r="G47" s="26"/>
      <c r="H47" s="27" t="s">
        <v>344</v>
      </c>
      <c r="I47" s="33" t="s">
        <v>345</v>
      </c>
      <c r="J47" s="33" t="s">
        <v>210</v>
      </c>
      <c r="K47" s="34"/>
    </row>
    <row r="48" spans="1:11" s="35" customFormat="1">
      <c r="A48" s="22">
        <v>44</v>
      </c>
      <c r="B48" s="22" t="s">
        <v>155</v>
      </c>
      <c r="C48" s="31" t="s">
        <v>211</v>
      </c>
      <c r="D48" s="32" t="s">
        <v>346</v>
      </c>
      <c r="E48" s="31" t="s">
        <v>347</v>
      </c>
      <c r="F48" s="25" t="s">
        <v>348</v>
      </c>
      <c r="G48" s="26"/>
      <c r="H48" s="59" t="s">
        <v>316</v>
      </c>
      <c r="I48" s="60" t="s">
        <v>349</v>
      </c>
      <c r="J48" s="33" t="s">
        <v>210</v>
      </c>
      <c r="K48" s="34"/>
    </row>
    <row r="49" spans="1:11" s="35" customFormat="1">
      <c r="A49" s="22">
        <v>45</v>
      </c>
      <c r="B49" s="22" t="s">
        <v>155</v>
      </c>
      <c r="C49" s="31" t="s">
        <v>211</v>
      </c>
      <c r="D49" s="32" t="s">
        <v>350</v>
      </c>
      <c r="E49" s="31" t="s">
        <v>351</v>
      </c>
      <c r="F49" s="33" t="s">
        <v>352</v>
      </c>
      <c r="G49" s="26"/>
      <c r="H49" s="59" t="s">
        <v>353</v>
      </c>
      <c r="I49" s="33" t="s">
        <v>354</v>
      </c>
      <c r="J49" s="33" t="s">
        <v>210</v>
      </c>
      <c r="K49" s="34"/>
    </row>
    <row r="50" spans="1:11" s="35" customFormat="1">
      <c r="A50" s="22">
        <v>46</v>
      </c>
      <c r="B50" s="22" t="s">
        <v>155</v>
      </c>
      <c r="C50" s="31" t="s">
        <v>211</v>
      </c>
      <c r="D50" s="32" t="s">
        <v>355</v>
      </c>
      <c r="E50" s="31" t="s">
        <v>356</v>
      </c>
      <c r="F50" s="60" t="s">
        <v>357</v>
      </c>
      <c r="G50" s="26"/>
      <c r="H50" s="59" t="s">
        <v>358</v>
      </c>
      <c r="I50" s="60" t="s">
        <v>359</v>
      </c>
      <c r="J50" s="33" t="s">
        <v>210</v>
      </c>
      <c r="K50" s="34"/>
    </row>
    <row r="51" spans="1:11" s="35" customFormat="1">
      <c r="A51" s="22">
        <v>47</v>
      </c>
      <c r="B51" s="22" t="s">
        <v>155</v>
      </c>
      <c r="C51" s="31" t="s">
        <v>211</v>
      </c>
      <c r="D51" s="32" t="s">
        <v>360</v>
      </c>
      <c r="E51" s="31" t="s">
        <v>361</v>
      </c>
      <c r="F51" s="33" t="s">
        <v>362</v>
      </c>
      <c r="G51" s="26"/>
      <c r="H51" s="27" t="s">
        <v>339</v>
      </c>
      <c r="I51" s="60" t="s">
        <v>363</v>
      </c>
      <c r="J51" s="33" t="s">
        <v>210</v>
      </c>
      <c r="K51" s="34"/>
    </row>
    <row r="52" spans="1:11" s="35" customFormat="1">
      <c r="A52" s="22">
        <v>48</v>
      </c>
      <c r="B52" s="22" t="s">
        <v>155</v>
      </c>
      <c r="C52" s="31" t="s">
        <v>156</v>
      </c>
      <c r="D52" s="32" t="s">
        <v>364</v>
      </c>
      <c r="E52" s="31" t="s">
        <v>365</v>
      </c>
      <c r="F52" s="33" t="s">
        <v>366</v>
      </c>
      <c r="G52" s="26"/>
      <c r="H52" s="27" t="s">
        <v>367</v>
      </c>
      <c r="I52" s="60" t="s">
        <v>368</v>
      </c>
      <c r="J52" s="33" t="s">
        <v>210</v>
      </c>
      <c r="K52" s="34"/>
    </row>
    <row r="53" spans="1:11" s="35" customFormat="1">
      <c r="A53" s="22">
        <v>49</v>
      </c>
      <c r="B53" s="22" t="s">
        <v>155</v>
      </c>
      <c r="C53" s="31" t="s">
        <v>156</v>
      </c>
      <c r="D53" s="32" t="s">
        <v>369</v>
      </c>
      <c r="E53" s="31" t="s">
        <v>370</v>
      </c>
      <c r="F53" s="33" t="s">
        <v>371</v>
      </c>
      <c r="G53" s="26"/>
      <c r="H53" s="27" t="s">
        <v>372</v>
      </c>
      <c r="I53" s="60" t="s">
        <v>373</v>
      </c>
      <c r="J53" s="33" t="s">
        <v>210</v>
      </c>
      <c r="K53" s="34"/>
    </row>
    <row r="54" spans="1:11" s="35" customFormat="1">
      <c r="A54" s="22">
        <v>50</v>
      </c>
      <c r="B54" s="22" t="s">
        <v>155</v>
      </c>
      <c r="C54" s="31" t="s">
        <v>156</v>
      </c>
      <c r="D54" s="32" t="s">
        <v>374</v>
      </c>
      <c r="E54" s="31" t="s">
        <v>375</v>
      </c>
      <c r="F54" s="33" t="s">
        <v>376</v>
      </c>
      <c r="G54" s="26"/>
      <c r="H54" s="27" t="s">
        <v>377</v>
      </c>
      <c r="I54" s="60" t="s">
        <v>378</v>
      </c>
      <c r="J54" s="33" t="s">
        <v>210</v>
      </c>
      <c r="K54" s="34"/>
    </row>
    <row r="55" spans="1:11" s="35" customFormat="1">
      <c r="A55" s="22">
        <v>51</v>
      </c>
      <c r="B55" s="22" t="s">
        <v>155</v>
      </c>
      <c r="C55" s="31" t="s">
        <v>379</v>
      </c>
      <c r="D55" s="32" t="s">
        <v>380</v>
      </c>
      <c r="E55" s="31" t="s">
        <v>381</v>
      </c>
      <c r="F55" s="33" t="s">
        <v>382</v>
      </c>
      <c r="G55" s="61" t="s">
        <v>383</v>
      </c>
      <c r="H55" s="27" t="s">
        <v>384</v>
      </c>
      <c r="I55" s="60"/>
      <c r="J55" s="33" t="s">
        <v>210</v>
      </c>
      <c r="K55" s="34"/>
    </row>
    <row r="56" spans="1:11">
      <c r="A56" s="22">
        <v>52</v>
      </c>
      <c r="B56" s="22" t="s">
        <v>155</v>
      </c>
      <c r="C56" s="23" t="s">
        <v>379</v>
      </c>
      <c r="D56" s="32" t="s">
        <v>385</v>
      </c>
      <c r="E56" s="31" t="s">
        <v>386</v>
      </c>
      <c r="F56" s="28" t="s">
        <v>387</v>
      </c>
      <c r="G56" s="26"/>
      <c r="H56" s="27" t="s">
        <v>384</v>
      </c>
      <c r="I56" s="29" t="s">
        <v>388</v>
      </c>
      <c r="J56" s="29" t="s">
        <v>210</v>
      </c>
      <c r="K56" s="30"/>
    </row>
    <row r="57" spans="1:11">
      <c r="A57" s="22">
        <v>53</v>
      </c>
      <c r="B57" s="22" t="s">
        <v>155</v>
      </c>
      <c r="C57" s="23" t="s">
        <v>379</v>
      </c>
      <c r="D57" s="32" t="s">
        <v>389</v>
      </c>
      <c r="E57" s="31" t="s">
        <v>390</v>
      </c>
      <c r="F57" s="28" t="s">
        <v>391</v>
      </c>
      <c r="G57" s="26"/>
      <c r="H57" s="27" t="s">
        <v>392</v>
      </c>
      <c r="I57" s="29" t="s">
        <v>393</v>
      </c>
      <c r="J57" s="29" t="s">
        <v>210</v>
      </c>
      <c r="K57" s="30"/>
    </row>
    <row r="58" spans="1:11">
      <c r="A58" s="22">
        <v>54</v>
      </c>
      <c r="B58" s="22" t="s">
        <v>155</v>
      </c>
      <c r="C58" s="23" t="s">
        <v>379</v>
      </c>
      <c r="D58" s="32" t="s">
        <v>394</v>
      </c>
      <c r="E58" s="62" t="s">
        <v>395</v>
      </c>
      <c r="F58" s="28" t="s">
        <v>396</v>
      </c>
      <c r="G58" s="30" t="s">
        <v>397</v>
      </c>
      <c r="H58" s="27" t="s">
        <v>392</v>
      </c>
      <c r="I58" s="29" t="s">
        <v>398</v>
      </c>
      <c r="J58" s="29" t="s">
        <v>210</v>
      </c>
      <c r="K58" s="30"/>
    </row>
    <row r="59" spans="1:11" ht="9.6" customHeight="1">
      <c r="A59" s="22">
        <v>55</v>
      </c>
      <c r="B59" s="22" t="s">
        <v>155</v>
      </c>
      <c r="C59" s="23" t="s">
        <v>399</v>
      </c>
      <c r="D59" s="32" t="s">
        <v>400</v>
      </c>
      <c r="E59" s="31" t="s">
        <v>401</v>
      </c>
      <c r="F59" s="28" t="s">
        <v>402</v>
      </c>
      <c r="G59" s="26"/>
      <c r="H59" s="27" t="s">
        <v>403</v>
      </c>
      <c r="I59" s="29" t="s">
        <v>404</v>
      </c>
      <c r="J59" s="29" t="s">
        <v>210</v>
      </c>
      <c r="K59" s="30"/>
    </row>
    <row r="60" spans="1:11" ht="9.6" customHeight="1">
      <c r="A60" s="22">
        <v>56</v>
      </c>
      <c r="B60" s="22" t="s">
        <v>155</v>
      </c>
      <c r="C60" s="23" t="s">
        <v>405</v>
      </c>
      <c r="D60" s="32" t="s">
        <v>406</v>
      </c>
      <c r="E60" s="31" t="s">
        <v>407</v>
      </c>
      <c r="F60" s="28" t="s">
        <v>408</v>
      </c>
      <c r="G60" s="26"/>
      <c r="H60" s="27" t="s">
        <v>409</v>
      </c>
      <c r="I60" s="29" t="s">
        <v>410</v>
      </c>
      <c r="J60" s="29" t="s">
        <v>210</v>
      </c>
      <c r="K60" s="30"/>
    </row>
    <row r="61" spans="1:11" ht="9.6" customHeight="1">
      <c r="A61" s="22">
        <v>57</v>
      </c>
      <c r="B61" s="22" t="s">
        <v>155</v>
      </c>
      <c r="C61" s="31" t="s">
        <v>405</v>
      </c>
      <c r="D61" s="32" t="s">
        <v>411</v>
      </c>
      <c r="E61" s="31" t="s">
        <v>412</v>
      </c>
      <c r="F61" s="60" t="s">
        <v>413</v>
      </c>
      <c r="G61" s="26"/>
      <c r="H61" s="27" t="s">
        <v>414</v>
      </c>
      <c r="I61" s="33" t="s">
        <v>415</v>
      </c>
      <c r="J61" s="33" t="s">
        <v>210</v>
      </c>
      <c r="K61" s="34"/>
    </row>
    <row r="62" spans="1:11" ht="9.6" customHeight="1">
      <c r="A62" s="22">
        <v>58</v>
      </c>
      <c r="B62" s="22" t="s">
        <v>155</v>
      </c>
      <c r="C62" s="31" t="s">
        <v>416</v>
      </c>
      <c r="D62" s="32" t="s">
        <v>417</v>
      </c>
      <c r="E62" s="31" t="s">
        <v>418</v>
      </c>
      <c r="F62" s="60" t="s">
        <v>419</v>
      </c>
      <c r="G62" s="26"/>
      <c r="H62" s="27" t="s">
        <v>420</v>
      </c>
      <c r="I62" s="33" t="s">
        <v>421</v>
      </c>
      <c r="J62" s="33" t="s">
        <v>210</v>
      </c>
      <c r="K62" s="34"/>
    </row>
    <row r="63" spans="1:11" ht="9.6" customHeight="1">
      <c r="A63" s="22">
        <v>59</v>
      </c>
      <c r="B63" s="22" t="s">
        <v>155</v>
      </c>
      <c r="C63" s="31" t="s">
        <v>416</v>
      </c>
      <c r="D63" s="32" t="s">
        <v>422</v>
      </c>
      <c r="E63" s="31" t="s">
        <v>423</v>
      </c>
      <c r="F63" s="60" t="s">
        <v>424</v>
      </c>
      <c r="G63" s="26"/>
      <c r="H63" s="27" t="s">
        <v>420</v>
      </c>
      <c r="I63" s="33" t="s">
        <v>425</v>
      </c>
      <c r="J63" s="33" t="s">
        <v>210</v>
      </c>
      <c r="K63" s="34"/>
    </row>
    <row r="64" spans="1:11" ht="9.6" customHeight="1">
      <c r="A64" s="22">
        <v>60</v>
      </c>
      <c r="B64" s="22" t="s">
        <v>155</v>
      </c>
      <c r="C64" s="31" t="s">
        <v>416</v>
      </c>
      <c r="D64" s="32" t="s">
        <v>426</v>
      </c>
      <c r="E64" s="31" t="s">
        <v>427</v>
      </c>
      <c r="F64" s="60" t="s">
        <v>428</v>
      </c>
      <c r="G64" s="26"/>
      <c r="H64" s="27" t="s">
        <v>420</v>
      </c>
      <c r="I64" s="33" t="s">
        <v>429</v>
      </c>
      <c r="J64" s="33" t="s">
        <v>210</v>
      </c>
      <c r="K64" s="34"/>
    </row>
    <row r="65" spans="1:11" ht="9.6" customHeight="1">
      <c r="A65" s="22">
        <v>61</v>
      </c>
      <c r="B65" s="22" t="s">
        <v>155</v>
      </c>
      <c r="C65" s="31" t="s">
        <v>416</v>
      </c>
      <c r="D65" s="32" t="s">
        <v>430</v>
      </c>
      <c r="E65" s="31" t="s">
        <v>431</v>
      </c>
      <c r="F65" s="60" t="s">
        <v>432</v>
      </c>
      <c r="G65" s="26"/>
      <c r="H65" s="27" t="s">
        <v>420</v>
      </c>
      <c r="I65" s="33" t="s">
        <v>433</v>
      </c>
      <c r="J65" s="33" t="s">
        <v>210</v>
      </c>
      <c r="K65" s="34"/>
    </row>
    <row r="66" spans="1:11" ht="9.6" customHeight="1">
      <c r="A66" s="22">
        <v>62</v>
      </c>
      <c r="B66" s="22" t="s">
        <v>155</v>
      </c>
      <c r="C66" s="31" t="s">
        <v>416</v>
      </c>
      <c r="D66" s="32" t="s">
        <v>434</v>
      </c>
      <c r="E66" s="31" t="s">
        <v>435</v>
      </c>
      <c r="F66" s="60" t="s">
        <v>436</v>
      </c>
      <c r="G66" s="26"/>
      <c r="H66" s="27" t="s">
        <v>420</v>
      </c>
      <c r="I66" s="33" t="s">
        <v>437</v>
      </c>
      <c r="J66" s="33" t="s">
        <v>210</v>
      </c>
      <c r="K66" s="34"/>
    </row>
    <row r="67" spans="1:11" ht="9.6" customHeight="1">
      <c r="A67" s="22">
        <v>63</v>
      </c>
      <c r="B67" s="22" t="s">
        <v>155</v>
      </c>
      <c r="C67" s="31" t="s">
        <v>438</v>
      </c>
      <c r="D67" s="32" t="s">
        <v>439</v>
      </c>
      <c r="E67" s="31" t="s">
        <v>440</v>
      </c>
      <c r="F67" s="60" t="s">
        <v>441</v>
      </c>
      <c r="G67" s="26"/>
      <c r="H67" s="27" t="s">
        <v>442</v>
      </c>
      <c r="I67" s="63" t="s">
        <v>443</v>
      </c>
      <c r="J67" s="33" t="s">
        <v>210</v>
      </c>
      <c r="K67" s="34"/>
    </row>
    <row r="68" spans="1:11" ht="9.6" customHeight="1">
      <c r="A68" s="22">
        <v>64</v>
      </c>
      <c r="B68" s="22" t="s">
        <v>155</v>
      </c>
      <c r="C68" s="23" t="s">
        <v>379</v>
      </c>
      <c r="D68" s="32" t="s">
        <v>821</v>
      </c>
      <c r="E68" s="31" t="s">
        <v>444</v>
      </c>
      <c r="F68" s="60" t="s">
        <v>445</v>
      </c>
      <c r="G68" s="26"/>
      <c r="H68" s="27" t="s">
        <v>446</v>
      </c>
      <c r="I68" s="64" t="s">
        <v>447</v>
      </c>
      <c r="J68" s="33" t="s">
        <v>210</v>
      </c>
      <c r="K68" s="34"/>
    </row>
    <row r="69" spans="1:11" ht="9.6" customHeight="1">
      <c r="A69" s="22">
        <v>65</v>
      </c>
      <c r="B69" s="22" t="s">
        <v>155</v>
      </c>
      <c r="C69" s="23" t="s">
        <v>379</v>
      </c>
      <c r="D69" s="32" t="s">
        <v>448</v>
      </c>
      <c r="E69" s="64" t="s">
        <v>449</v>
      </c>
      <c r="F69" s="60" t="s">
        <v>450</v>
      </c>
      <c r="G69" s="26"/>
      <c r="H69" s="27" t="s">
        <v>451</v>
      </c>
      <c r="I69" s="64" t="s">
        <v>452</v>
      </c>
      <c r="J69" s="33" t="s">
        <v>210</v>
      </c>
      <c r="K69" s="34"/>
    </row>
    <row r="70" spans="1:11" ht="9.6" customHeight="1">
      <c r="A70" s="22">
        <v>66</v>
      </c>
      <c r="B70" s="22" t="s">
        <v>155</v>
      </c>
      <c r="C70" s="23" t="s">
        <v>379</v>
      </c>
      <c r="D70" s="32" t="s">
        <v>453</v>
      </c>
      <c r="E70" s="64" t="s">
        <v>454</v>
      </c>
      <c r="F70" s="60" t="s">
        <v>455</v>
      </c>
      <c r="G70" s="26"/>
      <c r="H70" s="27" t="s">
        <v>451</v>
      </c>
      <c r="I70" s="64" t="s">
        <v>456</v>
      </c>
      <c r="J70" s="33" t="s">
        <v>210</v>
      </c>
      <c r="K70" s="34"/>
    </row>
    <row r="71" spans="1:11" ht="9.6" customHeight="1">
      <c r="A71" s="22">
        <v>67</v>
      </c>
      <c r="B71" s="22" t="s">
        <v>457</v>
      </c>
      <c r="C71" s="23" t="s">
        <v>379</v>
      </c>
      <c r="D71" s="32" t="s">
        <v>458</v>
      </c>
      <c r="E71" s="64" t="s">
        <v>459</v>
      </c>
      <c r="F71" s="60" t="s">
        <v>460</v>
      </c>
      <c r="G71" s="26"/>
      <c r="H71" s="27" t="s">
        <v>461</v>
      </c>
      <c r="I71" s="64" t="s">
        <v>462</v>
      </c>
      <c r="J71" s="33" t="s">
        <v>210</v>
      </c>
      <c r="K71" s="34"/>
    </row>
    <row r="72" spans="1:11" ht="9.6" customHeight="1">
      <c r="A72" s="22">
        <v>68</v>
      </c>
      <c r="B72" s="22" t="s">
        <v>457</v>
      </c>
      <c r="C72" s="23" t="s">
        <v>379</v>
      </c>
      <c r="D72" s="32" t="s">
        <v>463</v>
      </c>
      <c r="E72" s="64" t="s">
        <v>464</v>
      </c>
      <c r="F72" s="60" t="s">
        <v>465</v>
      </c>
      <c r="G72" s="26"/>
      <c r="H72" s="27" t="s">
        <v>461</v>
      </c>
      <c r="I72" s="64" t="s">
        <v>466</v>
      </c>
      <c r="J72" s="33" t="s">
        <v>210</v>
      </c>
      <c r="K72" s="34"/>
    </row>
    <row r="73" spans="1:11" ht="9.6" customHeight="1">
      <c r="A73" s="22">
        <v>69</v>
      </c>
      <c r="B73" s="22" t="s">
        <v>457</v>
      </c>
      <c r="C73" s="23" t="s">
        <v>379</v>
      </c>
      <c r="D73" s="32" t="s">
        <v>467</v>
      </c>
      <c r="E73" s="64" t="s">
        <v>468</v>
      </c>
      <c r="F73" s="60" t="s">
        <v>469</v>
      </c>
      <c r="G73" s="26"/>
      <c r="H73" s="27" t="s">
        <v>461</v>
      </c>
      <c r="I73" s="64" t="s">
        <v>470</v>
      </c>
      <c r="J73" s="33" t="s">
        <v>210</v>
      </c>
      <c r="K73" s="34"/>
    </row>
    <row r="74" spans="1:11" ht="9.6" customHeight="1">
      <c r="A74" s="22">
        <v>70</v>
      </c>
      <c r="B74" s="22" t="s">
        <v>457</v>
      </c>
      <c r="C74" s="23" t="s">
        <v>379</v>
      </c>
      <c r="D74" s="32" t="s">
        <v>471</v>
      </c>
      <c r="E74" s="64" t="s">
        <v>472</v>
      </c>
      <c r="F74" s="60" t="s">
        <v>473</v>
      </c>
      <c r="G74" s="26"/>
      <c r="H74" s="27" t="s">
        <v>461</v>
      </c>
      <c r="I74" s="64" t="s">
        <v>474</v>
      </c>
      <c r="J74" s="33" t="s">
        <v>210</v>
      </c>
      <c r="K74" s="34"/>
    </row>
    <row r="75" spans="1:11" ht="9.6" customHeight="1">
      <c r="A75" s="22">
        <v>71</v>
      </c>
      <c r="B75" s="22" t="s">
        <v>457</v>
      </c>
      <c r="C75" s="23" t="s">
        <v>379</v>
      </c>
      <c r="D75" s="32" t="s">
        <v>475</v>
      </c>
      <c r="E75" s="64" t="s">
        <v>476</v>
      </c>
      <c r="F75" s="60" t="s">
        <v>477</v>
      </c>
      <c r="G75" s="26"/>
      <c r="H75" s="27" t="s">
        <v>461</v>
      </c>
      <c r="I75" s="64" t="s">
        <v>478</v>
      </c>
      <c r="J75" s="33" t="s">
        <v>210</v>
      </c>
      <c r="K75" s="34"/>
    </row>
    <row r="76" spans="1:11" ht="9.6" customHeight="1">
      <c r="A76" s="22">
        <v>72</v>
      </c>
      <c r="B76" s="22" t="s">
        <v>457</v>
      </c>
      <c r="C76" s="23" t="s">
        <v>379</v>
      </c>
      <c r="D76" s="32" t="s">
        <v>479</v>
      </c>
      <c r="E76" s="64" t="s">
        <v>480</v>
      </c>
      <c r="F76" s="60" t="s">
        <v>481</v>
      </c>
      <c r="G76" s="26"/>
      <c r="H76" s="27" t="s">
        <v>461</v>
      </c>
      <c r="I76" s="64" t="s">
        <v>482</v>
      </c>
      <c r="J76" s="33" t="s">
        <v>210</v>
      </c>
      <c r="K76" s="34"/>
    </row>
    <row r="77" spans="1:11" ht="9.6" customHeight="1">
      <c r="A77" s="22">
        <v>73</v>
      </c>
      <c r="B77" s="22" t="s">
        <v>457</v>
      </c>
      <c r="C77" s="23" t="s">
        <v>379</v>
      </c>
      <c r="D77" s="32" t="s">
        <v>483</v>
      </c>
      <c r="E77" s="64" t="s">
        <v>484</v>
      </c>
      <c r="F77" s="60" t="s">
        <v>485</v>
      </c>
      <c r="G77" s="26"/>
      <c r="H77" s="27" t="s">
        <v>461</v>
      </c>
      <c r="I77" s="64" t="s">
        <v>486</v>
      </c>
      <c r="J77" s="33" t="s">
        <v>210</v>
      </c>
      <c r="K77" s="34"/>
    </row>
    <row r="78" spans="1:11" ht="9.6" customHeight="1">
      <c r="A78" s="22">
        <v>74</v>
      </c>
      <c r="B78" s="22" t="s">
        <v>457</v>
      </c>
      <c r="C78" s="23"/>
      <c r="D78" s="32"/>
      <c r="E78" s="64" t="s">
        <v>487</v>
      </c>
      <c r="F78" s="60"/>
      <c r="G78" s="26"/>
      <c r="H78" s="27"/>
      <c r="I78" s="64"/>
      <c r="J78" s="33" t="s">
        <v>210</v>
      </c>
      <c r="K78" s="34"/>
    </row>
    <row r="79" spans="1:11" ht="9.6" customHeight="1" thickBot="1">
      <c r="A79" s="65">
        <v>75</v>
      </c>
      <c r="B79" s="65" t="s">
        <v>457</v>
      </c>
      <c r="C79" s="66"/>
      <c r="D79" s="67"/>
      <c r="E79" s="68" t="s">
        <v>488</v>
      </c>
      <c r="F79" s="69"/>
      <c r="G79" s="70"/>
      <c r="H79" s="71"/>
      <c r="I79" s="68"/>
      <c r="J79" s="33" t="s">
        <v>210</v>
      </c>
      <c r="K79" s="72"/>
    </row>
    <row r="80" spans="1:11" ht="9.6" customHeight="1" thickTop="1">
      <c r="A80" s="73">
        <v>76</v>
      </c>
      <c r="B80" s="74" t="s">
        <v>489</v>
      </c>
      <c r="C80" s="75" t="s">
        <v>490</v>
      </c>
      <c r="D80" s="76" t="s">
        <v>491</v>
      </c>
      <c r="E80" s="77" t="s">
        <v>492</v>
      </c>
      <c r="F80" s="78" t="s">
        <v>493</v>
      </c>
      <c r="G80" s="78"/>
      <c r="H80" s="79" t="s">
        <v>494</v>
      </c>
      <c r="I80" s="80"/>
      <c r="J80" s="81"/>
      <c r="K80" s="81"/>
    </row>
    <row r="81" spans="1:11" ht="9.6" customHeight="1">
      <c r="A81" s="22">
        <v>77</v>
      </c>
      <c r="B81" s="82" t="s">
        <v>489</v>
      </c>
      <c r="C81" s="23" t="s">
        <v>490</v>
      </c>
      <c r="D81" s="32" t="s">
        <v>495</v>
      </c>
      <c r="E81" s="62" t="s">
        <v>496</v>
      </c>
      <c r="F81" s="25" t="s">
        <v>497</v>
      </c>
      <c r="G81" s="26"/>
      <c r="H81" s="27" t="s">
        <v>494</v>
      </c>
      <c r="I81" s="30"/>
      <c r="J81" s="29"/>
      <c r="K81" s="29"/>
    </row>
    <row r="82" spans="1:11" ht="9.6" customHeight="1">
      <c r="A82" s="22">
        <v>78</v>
      </c>
      <c r="B82" s="82" t="s">
        <v>489</v>
      </c>
      <c r="C82" s="23" t="s">
        <v>490</v>
      </c>
      <c r="D82" s="32" t="s">
        <v>498</v>
      </c>
      <c r="E82" s="83" t="s">
        <v>499</v>
      </c>
      <c r="F82" s="25" t="s">
        <v>500</v>
      </c>
      <c r="G82" s="26"/>
      <c r="H82" s="27" t="s">
        <v>494</v>
      </c>
      <c r="I82" s="30"/>
      <c r="J82" s="29"/>
      <c r="K82" s="29"/>
    </row>
    <row r="83" spans="1:11" ht="9.6" customHeight="1">
      <c r="A83" s="22">
        <v>79</v>
      </c>
      <c r="B83" s="82" t="s">
        <v>489</v>
      </c>
      <c r="C83" s="23" t="s">
        <v>490</v>
      </c>
      <c r="D83" s="32" t="s">
        <v>501</v>
      </c>
      <c r="E83" s="83" t="s">
        <v>502</v>
      </c>
      <c r="F83" s="25" t="s">
        <v>503</v>
      </c>
      <c r="G83" s="26"/>
      <c r="H83" s="27" t="s">
        <v>494</v>
      </c>
      <c r="I83" s="30"/>
      <c r="J83" s="29"/>
      <c r="K83" s="29"/>
    </row>
    <row r="84" spans="1:11" ht="9.6" customHeight="1">
      <c r="A84" s="22">
        <v>80</v>
      </c>
      <c r="B84" s="82" t="s">
        <v>489</v>
      </c>
      <c r="C84" s="23" t="s">
        <v>490</v>
      </c>
      <c r="D84" s="32" t="s">
        <v>504</v>
      </c>
      <c r="E84" s="83" t="s">
        <v>505</v>
      </c>
      <c r="F84" s="25" t="s">
        <v>506</v>
      </c>
      <c r="G84" s="26"/>
      <c r="H84" s="27" t="s">
        <v>494</v>
      </c>
      <c r="I84" s="30"/>
      <c r="J84" s="29"/>
      <c r="K84" s="29"/>
    </row>
    <row r="85" spans="1:11" ht="9.6" customHeight="1">
      <c r="A85" s="22">
        <v>81</v>
      </c>
      <c r="B85" s="82" t="s">
        <v>489</v>
      </c>
      <c r="C85" s="31" t="s">
        <v>490</v>
      </c>
      <c r="D85" s="32" t="s">
        <v>507</v>
      </c>
      <c r="E85" s="62" t="s">
        <v>508</v>
      </c>
      <c r="F85" s="25" t="s">
        <v>509</v>
      </c>
      <c r="G85" s="26"/>
      <c r="H85" s="27" t="s">
        <v>494</v>
      </c>
      <c r="I85" s="30"/>
      <c r="J85" s="29"/>
      <c r="K85" s="29"/>
    </row>
    <row r="86" spans="1:11" ht="9.6" customHeight="1">
      <c r="A86" s="22">
        <v>82</v>
      </c>
      <c r="B86" s="82" t="s">
        <v>489</v>
      </c>
      <c r="C86" s="23" t="s">
        <v>490</v>
      </c>
      <c r="D86" s="32" t="s">
        <v>510</v>
      </c>
      <c r="E86" s="83" t="s">
        <v>511</v>
      </c>
      <c r="F86" s="25" t="s">
        <v>512</v>
      </c>
      <c r="G86" s="26"/>
      <c r="H86" s="27" t="s">
        <v>494</v>
      </c>
      <c r="I86" s="30"/>
      <c r="J86" s="29"/>
      <c r="K86" s="29"/>
    </row>
    <row r="87" spans="1:11" ht="9.6" customHeight="1">
      <c r="A87" s="22">
        <v>83</v>
      </c>
      <c r="B87" s="82" t="s">
        <v>489</v>
      </c>
      <c r="C87" s="23" t="s">
        <v>490</v>
      </c>
      <c r="D87" s="32" t="s">
        <v>513</v>
      </c>
      <c r="E87" s="83" t="s">
        <v>514</v>
      </c>
      <c r="F87" s="25" t="s">
        <v>515</v>
      </c>
      <c r="G87" s="26"/>
      <c r="H87" s="27" t="s">
        <v>494</v>
      </c>
      <c r="I87" s="30"/>
      <c r="J87" s="29"/>
      <c r="K87" s="29"/>
    </row>
    <row r="88" spans="1:11" ht="9.6" customHeight="1">
      <c r="A88" s="22">
        <v>84</v>
      </c>
      <c r="B88" s="82" t="s">
        <v>489</v>
      </c>
      <c r="C88" s="23" t="s">
        <v>490</v>
      </c>
      <c r="D88" s="32" t="s">
        <v>516</v>
      </c>
      <c r="E88" s="83" t="s">
        <v>517</v>
      </c>
      <c r="F88" s="25" t="s">
        <v>518</v>
      </c>
      <c r="G88" s="26"/>
      <c r="H88" s="27" t="s">
        <v>494</v>
      </c>
      <c r="I88" s="30"/>
      <c r="J88" s="29"/>
      <c r="K88" s="29"/>
    </row>
    <row r="89" spans="1:11" ht="9.6" customHeight="1">
      <c r="A89" s="22">
        <v>85</v>
      </c>
      <c r="B89" s="82" t="s">
        <v>489</v>
      </c>
      <c r="C89" s="31" t="s">
        <v>519</v>
      </c>
      <c r="D89" s="32" t="s">
        <v>520</v>
      </c>
      <c r="E89" s="62" t="s">
        <v>521</v>
      </c>
      <c r="F89" s="33" t="s">
        <v>522</v>
      </c>
      <c r="G89" s="26"/>
      <c r="H89" s="27" t="s">
        <v>523</v>
      </c>
      <c r="I89" s="30"/>
      <c r="J89" s="29"/>
      <c r="K89" s="29"/>
    </row>
    <row r="90" spans="1:11" ht="9.6" customHeight="1">
      <c r="A90" s="22">
        <v>86</v>
      </c>
      <c r="B90" s="82" t="s">
        <v>489</v>
      </c>
      <c r="C90" s="23" t="s">
        <v>490</v>
      </c>
      <c r="D90" s="32" t="s">
        <v>524</v>
      </c>
      <c r="E90" s="83" t="s">
        <v>525</v>
      </c>
      <c r="F90" s="29" t="s">
        <v>526</v>
      </c>
      <c r="G90" s="26"/>
      <c r="H90" s="27" t="s">
        <v>494</v>
      </c>
      <c r="I90" s="30"/>
      <c r="J90" s="29"/>
      <c r="K90" s="29"/>
    </row>
    <row r="91" spans="1:11" s="35" customFormat="1" ht="9.6" customHeight="1">
      <c r="A91" s="22">
        <v>87</v>
      </c>
      <c r="B91" s="82" t="s">
        <v>489</v>
      </c>
      <c r="C91" s="31" t="s">
        <v>490</v>
      </c>
      <c r="D91" s="32" t="s">
        <v>527</v>
      </c>
      <c r="E91" s="84" t="s">
        <v>528</v>
      </c>
      <c r="F91" s="33" t="s">
        <v>529</v>
      </c>
      <c r="G91" s="61" t="s">
        <v>530</v>
      </c>
      <c r="H91" s="27" t="s">
        <v>192</v>
      </c>
      <c r="I91" s="34"/>
      <c r="J91" s="33"/>
      <c r="K91" s="33"/>
    </row>
    <row r="92" spans="1:11" ht="9.6" customHeight="1">
      <c r="A92" s="22">
        <v>88</v>
      </c>
      <c r="B92" s="82" t="s">
        <v>489</v>
      </c>
      <c r="C92" s="23" t="s">
        <v>490</v>
      </c>
      <c r="D92" s="32" t="s">
        <v>531</v>
      </c>
      <c r="E92" s="83" t="s">
        <v>532</v>
      </c>
      <c r="F92" s="25" t="s">
        <v>533</v>
      </c>
      <c r="G92" s="26"/>
      <c r="H92" s="27" t="s">
        <v>192</v>
      </c>
      <c r="I92" s="30"/>
      <c r="J92" s="29"/>
      <c r="K92" s="29"/>
    </row>
    <row r="93" spans="1:11" ht="9.6" customHeight="1">
      <c r="A93" s="22">
        <v>89</v>
      </c>
      <c r="B93" s="82" t="s">
        <v>489</v>
      </c>
      <c r="C93" s="23" t="s">
        <v>490</v>
      </c>
      <c r="D93" s="32" t="s">
        <v>534</v>
      </c>
      <c r="E93" s="83" t="s">
        <v>535</v>
      </c>
      <c r="F93" s="25" t="s">
        <v>536</v>
      </c>
      <c r="G93" s="26"/>
      <c r="H93" s="27" t="s">
        <v>192</v>
      </c>
      <c r="I93" s="30"/>
      <c r="J93" s="29"/>
      <c r="K93" s="29"/>
    </row>
    <row r="94" spans="1:11" ht="9.6" customHeight="1">
      <c r="A94" s="22">
        <v>90</v>
      </c>
      <c r="B94" s="82" t="s">
        <v>489</v>
      </c>
      <c r="C94" s="23" t="s">
        <v>490</v>
      </c>
      <c r="D94" s="32" t="s">
        <v>537</v>
      </c>
      <c r="E94" s="83" t="s">
        <v>538</v>
      </c>
      <c r="F94" s="25" t="s">
        <v>539</v>
      </c>
      <c r="G94" s="26"/>
      <c r="H94" s="27" t="s">
        <v>192</v>
      </c>
      <c r="I94" s="30"/>
      <c r="J94" s="29"/>
      <c r="K94" s="29"/>
    </row>
    <row r="95" spans="1:11" ht="9.6" customHeight="1">
      <c r="A95" s="22">
        <v>91</v>
      </c>
      <c r="B95" s="82" t="s">
        <v>489</v>
      </c>
      <c r="C95" s="23" t="s">
        <v>490</v>
      </c>
      <c r="D95" s="32" t="s">
        <v>540</v>
      </c>
      <c r="E95" s="83" t="s">
        <v>541</v>
      </c>
      <c r="F95" s="25" t="s">
        <v>542</v>
      </c>
      <c r="G95" s="26"/>
      <c r="H95" s="27" t="s">
        <v>192</v>
      </c>
      <c r="I95" s="30"/>
      <c r="J95" s="29"/>
      <c r="K95" s="29"/>
    </row>
    <row r="96" spans="1:11" ht="9.6" customHeight="1">
      <c r="A96" s="22">
        <v>92</v>
      </c>
      <c r="B96" s="82" t="s">
        <v>489</v>
      </c>
      <c r="C96" s="23" t="s">
        <v>490</v>
      </c>
      <c r="D96" s="32" t="s">
        <v>543</v>
      </c>
      <c r="E96" s="83" t="s">
        <v>544</v>
      </c>
      <c r="F96" s="25" t="s">
        <v>545</v>
      </c>
      <c r="G96" s="26"/>
      <c r="H96" s="27" t="s">
        <v>192</v>
      </c>
      <c r="I96" s="30"/>
      <c r="J96" s="29"/>
      <c r="K96" s="29"/>
    </row>
    <row r="97" spans="1:11" ht="9.6" customHeight="1">
      <c r="A97" s="22">
        <v>93</v>
      </c>
      <c r="B97" s="82" t="s">
        <v>489</v>
      </c>
      <c r="C97" s="23" t="s">
        <v>490</v>
      </c>
      <c r="D97" s="32" t="s">
        <v>546</v>
      </c>
      <c r="E97" s="83" t="s">
        <v>547</v>
      </c>
      <c r="F97" s="25" t="s">
        <v>548</v>
      </c>
      <c r="G97" s="26"/>
      <c r="H97" s="27" t="s">
        <v>192</v>
      </c>
      <c r="I97" s="30"/>
      <c r="J97" s="29"/>
      <c r="K97" s="29"/>
    </row>
    <row r="98" spans="1:11" ht="9.6" customHeight="1">
      <c r="A98" s="22">
        <v>94</v>
      </c>
      <c r="B98" s="82" t="s">
        <v>489</v>
      </c>
      <c r="C98" s="23" t="s">
        <v>490</v>
      </c>
      <c r="D98" s="32" t="s">
        <v>549</v>
      </c>
      <c r="E98" s="83" t="s">
        <v>550</v>
      </c>
      <c r="F98" s="25" t="s">
        <v>551</v>
      </c>
      <c r="G98" s="26"/>
      <c r="H98" s="27" t="s">
        <v>192</v>
      </c>
      <c r="I98" s="30"/>
      <c r="J98" s="29"/>
      <c r="K98" s="29"/>
    </row>
    <row r="99" spans="1:11" ht="9.6" customHeight="1">
      <c r="A99" s="22">
        <v>95</v>
      </c>
      <c r="B99" s="82" t="s">
        <v>489</v>
      </c>
      <c r="C99" s="23" t="s">
        <v>490</v>
      </c>
      <c r="D99" s="32" t="s">
        <v>552</v>
      </c>
      <c r="E99" s="83" t="s">
        <v>553</v>
      </c>
      <c r="F99" s="33" t="s">
        <v>554</v>
      </c>
      <c r="G99" s="26"/>
      <c r="H99" s="27" t="s">
        <v>192</v>
      </c>
      <c r="I99" s="85"/>
      <c r="J99" s="29"/>
      <c r="K99" s="29"/>
    </row>
    <row r="100" spans="1:11" ht="9.6" customHeight="1">
      <c r="A100" s="22">
        <v>96</v>
      </c>
      <c r="B100" s="82" t="s">
        <v>489</v>
      </c>
      <c r="C100" s="23" t="s">
        <v>490</v>
      </c>
      <c r="D100" s="32" t="s">
        <v>555</v>
      </c>
      <c r="E100" s="83" t="s">
        <v>556</v>
      </c>
      <c r="F100" s="29" t="s">
        <v>557</v>
      </c>
      <c r="G100" s="26"/>
      <c r="H100" s="27" t="s">
        <v>192</v>
      </c>
      <c r="I100" s="30"/>
      <c r="J100" s="29"/>
      <c r="K100" s="29"/>
    </row>
    <row r="101" spans="1:11" ht="9.6" customHeight="1">
      <c r="A101" s="22">
        <v>97</v>
      </c>
      <c r="B101" s="82" t="s">
        <v>489</v>
      </c>
      <c r="C101" s="23" t="s">
        <v>490</v>
      </c>
      <c r="D101" s="32" t="s">
        <v>558</v>
      </c>
      <c r="E101" s="83" t="s">
        <v>559</v>
      </c>
      <c r="F101" s="25" t="s">
        <v>560</v>
      </c>
      <c r="G101" s="26"/>
      <c r="H101" s="27" t="s">
        <v>192</v>
      </c>
      <c r="I101" s="30"/>
      <c r="J101" s="29"/>
      <c r="K101" s="29"/>
    </row>
    <row r="102" spans="1:11" ht="9.6" customHeight="1">
      <c r="A102" s="22">
        <v>98</v>
      </c>
      <c r="B102" s="82" t="s">
        <v>489</v>
      </c>
      <c r="C102" s="23" t="s">
        <v>490</v>
      </c>
      <c r="D102" s="32" t="s">
        <v>561</v>
      </c>
      <c r="E102" s="83" t="s">
        <v>562</v>
      </c>
      <c r="F102" s="55" t="s">
        <v>563</v>
      </c>
      <c r="G102" s="26"/>
      <c r="H102" s="27" t="s">
        <v>192</v>
      </c>
      <c r="I102" s="30"/>
      <c r="J102" s="29"/>
      <c r="K102" s="29"/>
    </row>
    <row r="103" spans="1:11" ht="9.6" customHeight="1">
      <c r="A103" s="22">
        <v>99</v>
      </c>
      <c r="B103" s="82" t="s">
        <v>489</v>
      </c>
      <c r="C103" s="23" t="s">
        <v>490</v>
      </c>
      <c r="D103" s="32" t="s">
        <v>564</v>
      </c>
      <c r="E103" s="83" t="s">
        <v>565</v>
      </c>
      <c r="F103" s="25" t="s">
        <v>566</v>
      </c>
      <c r="G103" s="26"/>
      <c r="H103" s="27" t="s">
        <v>192</v>
      </c>
      <c r="I103" s="30"/>
      <c r="J103" s="29"/>
      <c r="K103" s="29"/>
    </row>
    <row r="104" spans="1:11" ht="9.6" customHeight="1">
      <c r="A104" s="22">
        <v>100</v>
      </c>
      <c r="B104" s="82" t="s">
        <v>489</v>
      </c>
      <c r="C104" s="23" t="s">
        <v>490</v>
      </c>
      <c r="D104" s="32" t="s">
        <v>567</v>
      </c>
      <c r="E104" s="83" t="s">
        <v>568</v>
      </c>
      <c r="F104" s="25" t="s">
        <v>569</v>
      </c>
      <c r="G104" s="26"/>
      <c r="H104" s="27" t="s">
        <v>192</v>
      </c>
      <c r="I104" s="30"/>
      <c r="J104" s="29"/>
      <c r="K104" s="29"/>
    </row>
    <row r="105" spans="1:11" ht="9.6" customHeight="1">
      <c r="A105" s="22">
        <v>101</v>
      </c>
      <c r="B105" s="82" t="s">
        <v>489</v>
      </c>
      <c r="C105" s="23" t="s">
        <v>490</v>
      </c>
      <c r="D105" s="32" t="s">
        <v>570</v>
      </c>
      <c r="E105" s="83" t="s">
        <v>571</v>
      </c>
      <c r="F105" s="25" t="s">
        <v>572</v>
      </c>
      <c r="G105" s="26"/>
      <c r="H105" s="27" t="s">
        <v>192</v>
      </c>
      <c r="I105" s="30"/>
      <c r="J105" s="29"/>
      <c r="K105" s="29"/>
    </row>
    <row r="106" spans="1:11" ht="9.6" customHeight="1">
      <c r="A106" s="22">
        <v>102</v>
      </c>
      <c r="B106" s="82" t="s">
        <v>489</v>
      </c>
      <c r="C106" s="23" t="s">
        <v>490</v>
      </c>
      <c r="D106" s="32" t="s">
        <v>573</v>
      </c>
      <c r="E106" s="83" t="s">
        <v>574</v>
      </c>
      <c r="F106" s="25" t="s">
        <v>575</v>
      </c>
      <c r="G106" s="26"/>
      <c r="H106" s="27" t="s">
        <v>192</v>
      </c>
      <c r="I106" s="30"/>
      <c r="J106" s="29"/>
      <c r="K106" s="29"/>
    </row>
    <row r="107" spans="1:11" ht="9.6" customHeight="1">
      <c r="A107" s="22">
        <v>103</v>
      </c>
      <c r="B107" s="82" t="s">
        <v>489</v>
      </c>
      <c r="C107" s="23" t="s">
        <v>490</v>
      </c>
      <c r="D107" s="32" t="s">
        <v>576</v>
      </c>
      <c r="E107" s="83" t="s">
        <v>577</v>
      </c>
      <c r="F107" s="25" t="s">
        <v>578</v>
      </c>
      <c r="G107" s="26"/>
      <c r="H107" s="27" t="s">
        <v>192</v>
      </c>
      <c r="I107" s="30"/>
      <c r="J107" s="29"/>
      <c r="K107" s="29"/>
    </row>
    <row r="108" spans="1:11" ht="9.6" customHeight="1">
      <c r="A108" s="22">
        <v>104</v>
      </c>
      <c r="B108" s="82" t="s">
        <v>489</v>
      </c>
      <c r="C108" s="23" t="s">
        <v>490</v>
      </c>
      <c r="D108" s="32" t="s">
        <v>579</v>
      </c>
      <c r="E108" s="83" t="s">
        <v>580</v>
      </c>
      <c r="F108" s="25" t="s">
        <v>581</v>
      </c>
      <c r="G108" s="26"/>
      <c r="H108" s="27" t="s">
        <v>192</v>
      </c>
      <c r="I108" s="30"/>
      <c r="J108" s="29"/>
      <c r="K108" s="29"/>
    </row>
    <row r="109" spans="1:11" ht="9.6" customHeight="1">
      <c r="A109" s="22">
        <v>105</v>
      </c>
      <c r="B109" s="82" t="s">
        <v>489</v>
      </c>
      <c r="C109" s="23" t="s">
        <v>582</v>
      </c>
      <c r="D109" s="32" t="s">
        <v>583</v>
      </c>
      <c r="E109" s="83" t="s">
        <v>584</v>
      </c>
      <c r="F109" s="25" t="s">
        <v>585</v>
      </c>
      <c r="G109" s="26"/>
      <c r="H109" s="27" t="s">
        <v>192</v>
      </c>
      <c r="I109" s="30"/>
      <c r="J109" s="29"/>
      <c r="K109" s="29"/>
    </row>
    <row r="110" spans="1:11" ht="9.6" customHeight="1">
      <c r="A110" s="22">
        <v>106</v>
      </c>
      <c r="B110" s="82" t="s">
        <v>489</v>
      </c>
      <c r="C110" s="23" t="s">
        <v>490</v>
      </c>
      <c r="D110" s="32" t="s">
        <v>586</v>
      </c>
      <c r="E110" s="83" t="s">
        <v>587</v>
      </c>
      <c r="F110" s="25" t="s">
        <v>588</v>
      </c>
      <c r="G110" s="26"/>
      <c r="H110" s="27" t="s">
        <v>192</v>
      </c>
      <c r="I110" s="30"/>
      <c r="J110" s="29"/>
      <c r="K110" s="29"/>
    </row>
    <row r="111" spans="1:11" ht="9.6" customHeight="1">
      <c r="A111" s="22">
        <v>107</v>
      </c>
      <c r="B111" s="82" t="s">
        <v>489</v>
      </c>
      <c r="C111" s="23" t="s">
        <v>490</v>
      </c>
      <c r="D111" s="32" t="s">
        <v>589</v>
      </c>
      <c r="E111" s="83" t="s">
        <v>590</v>
      </c>
      <c r="F111" s="25" t="s">
        <v>591</v>
      </c>
      <c r="G111" s="26"/>
      <c r="H111" s="27" t="s">
        <v>192</v>
      </c>
      <c r="I111" s="30"/>
      <c r="J111" s="29"/>
      <c r="K111" s="29"/>
    </row>
    <row r="112" spans="1:11" ht="9.6" customHeight="1">
      <c r="A112" s="22">
        <v>108</v>
      </c>
      <c r="B112" s="82" t="s">
        <v>489</v>
      </c>
      <c r="C112" s="23" t="s">
        <v>490</v>
      </c>
      <c r="D112" s="32" t="s">
        <v>592</v>
      </c>
      <c r="E112" s="83" t="s">
        <v>593</v>
      </c>
      <c r="F112" s="25" t="s">
        <v>594</v>
      </c>
      <c r="G112" s="26"/>
      <c r="H112" s="27" t="s">
        <v>192</v>
      </c>
      <c r="I112" s="30"/>
      <c r="J112" s="29"/>
      <c r="K112" s="29"/>
    </row>
    <row r="113" spans="1:11" ht="9.6" customHeight="1">
      <c r="A113" s="22">
        <v>109</v>
      </c>
      <c r="B113" s="82" t="s">
        <v>489</v>
      </c>
      <c r="C113" s="23" t="s">
        <v>490</v>
      </c>
      <c r="D113" s="32" t="s">
        <v>595</v>
      </c>
      <c r="E113" s="83" t="s">
        <v>596</v>
      </c>
      <c r="F113" s="25" t="s">
        <v>597</v>
      </c>
      <c r="G113" s="26"/>
      <c r="H113" s="27" t="s">
        <v>192</v>
      </c>
      <c r="I113" s="30"/>
      <c r="J113" s="29"/>
      <c r="K113" s="29"/>
    </row>
    <row r="114" spans="1:11" ht="9.6" customHeight="1">
      <c r="A114" s="22">
        <v>110</v>
      </c>
      <c r="B114" s="82" t="s">
        <v>489</v>
      </c>
      <c r="C114" s="23" t="s">
        <v>490</v>
      </c>
      <c r="D114" s="32" t="s">
        <v>598</v>
      </c>
      <c r="E114" s="83" t="s">
        <v>599</v>
      </c>
      <c r="F114" s="25" t="s">
        <v>600</v>
      </c>
      <c r="G114" s="26"/>
      <c r="H114" s="27" t="s">
        <v>192</v>
      </c>
      <c r="I114" s="30"/>
      <c r="J114" s="29"/>
      <c r="K114" s="29"/>
    </row>
    <row r="115" spans="1:11" ht="9.6" customHeight="1">
      <c r="A115" s="22">
        <v>111</v>
      </c>
      <c r="B115" s="82" t="s">
        <v>489</v>
      </c>
      <c r="C115" s="23" t="s">
        <v>490</v>
      </c>
      <c r="D115" s="32" t="s">
        <v>601</v>
      </c>
      <c r="E115" s="83" t="s">
        <v>602</v>
      </c>
      <c r="F115" s="25" t="s">
        <v>603</v>
      </c>
      <c r="G115" s="26"/>
      <c r="H115" s="27" t="s">
        <v>192</v>
      </c>
      <c r="I115" s="30"/>
      <c r="J115" s="29"/>
      <c r="K115" s="29"/>
    </row>
    <row r="116" spans="1:11" ht="9.6" customHeight="1">
      <c r="A116" s="22">
        <v>112</v>
      </c>
      <c r="B116" s="82" t="s">
        <v>489</v>
      </c>
      <c r="C116" s="23" t="s">
        <v>490</v>
      </c>
      <c r="D116" s="32" t="s">
        <v>604</v>
      </c>
      <c r="E116" s="83" t="s">
        <v>605</v>
      </c>
      <c r="F116" s="25" t="s">
        <v>606</v>
      </c>
      <c r="G116" s="26"/>
      <c r="H116" s="27" t="s">
        <v>192</v>
      </c>
      <c r="I116" s="30"/>
      <c r="J116" s="29"/>
      <c r="K116" s="29"/>
    </row>
    <row r="117" spans="1:11" s="35" customFormat="1" ht="9.6" customHeight="1">
      <c r="A117" s="22">
        <v>113</v>
      </c>
      <c r="B117" s="82" t="s">
        <v>489</v>
      </c>
      <c r="C117" s="31" t="s">
        <v>490</v>
      </c>
      <c r="D117" s="32" t="s">
        <v>607</v>
      </c>
      <c r="E117" s="62" t="s">
        <v>608</v>
      </c>
      <c r="F117" s="25" t="s">
        <v>609</v>
      </c>
      <c r="G117" s="26"/>
      <c r="H117" s="27" t="s">
        <v>192</v>
      </c>
      <c r="I117" s="34"/>
      <c r="J117" s="33"/>
      <c r="K117" s="33"/>
    </row>
    <row r="118" spans="1:11" ht="9.6" customHeight="1">
      <c r="A118" s="22">
        <v>114</v>
      </c>
      <c r="B118" s="82" t="s">
        <v>489</v>
      </c>
      <c r="C118" s="23" t="s">
        <v>490</v>
      </c>
      <c r="D118" s="32" t="s">
        <v>610</v>
      </c>
      <c r="E118" s="83" t="s">
        <v>611</v>
      </c>
      <c r="F118" s="25" t="s">
        <v>612</v>
      </c>
      <c r="G118" s="26"/>
      <c r="H118" s="27" t="s">
        <v>192</v>
      </c>
      <c r="I118" s="30"/>
      <c r="J118" s="29"/>
      <c r="K118" s="29"/>
    </row>
    <row r="119" spans="1:11" ht="9.6" customHeight="1">
      <c r="A119" s="22">
        <v>115</v>
      </c>
      <c r="B119" s="82" t="s">
        <v>489</v>
      </c>
      <c r="C119" s="23" t="s">
        <v>490</v>
      </c>
      <c r="D119" s="32" t="s">
        <v>613</v>
      </c>
      <c r="E119" s="83" t="s">
        <v>614</v>
      </c>
      <c r="F119" s="25" t="s">
        <v>615</v>
      </c>
      <c r="G119" s="26"/>
      <c r="H119" s="27" t="s">
        <v>192</v>
      </c>
      <c r="I119" s="30"/>
      <c r="J119" s="29"/>
      <c r="K119" s="29"/>
    </row>
    <row r="120" spans="1:11" ht="9.6" customHeight="1">
      <c r="A120" s="22">
        <v>116</v>
      </c>
      <c r="B120" s="82" t="s">
        <v>489</v>
      </c>
      <c r="C120" s="23" t="s">
        <v>490</v>
      </c>
      <c r="D120" s="32" t="s">
        <v>616</v>
      </c>
      <c r="E120" s="83" t="s">
        <v>617</v>
      </c>
      <c r="F120" s="55" t="s">
        <v>618</v>
      </c>
      <c r="G120" s="26"/>
      <c r="H120" s="27" t="s">
        <v>192</v>
      </c>
      <c r="I120" s="30"/>
      <c r="J120" s="29"/>
      <c r="K120" s="29"/>
    </row>
    <row r="121" spans="1:11" s="35" customFormat="1" ht="9.6" customHeight="1">
      <c r="A121" s="22">
        <v>117</v>
      </c>
      <c r="B121" s="82" t="s">
        <v>489</v>
      </c>
      <c r="C121" s="31" t="s">
        <v>490</v>
      </c>
      <c r="D121" s="32" t="s">
        <v>619</v>
      </c>
      <c r="E121" s="62" t="s">
        <v>620</v>
      </c>
      <c r="F121" s="33" t="s">
        <v>621</v>
      </c>
      <c r="G121" s="26"/>
      <c r="H121" s="27" t="s">
        <v>192</v>
      </c>
      <c r="I121" s="34"/>
      <c r="J121" s="33"/>
      <c r="K121" s="33"/>
    </row>
    <row r="122" spans="1:11" ht="9.6" customHeight="1">
      <c r="A122" s="22">
        <v>118</v>
      </c>
      <c r="B122" s="82" t="s">
        <v>489</v>
      </c>
      <c r="C122" s="23" t="s">
        <v>490</v>
      </c>
      <c r="D122" s="32" t="s">
        <v>622</v>
      </c>
      <c r="E122" s="83" t="s">
        <v>623</v>
      </c>
      <c r="F122" s="25" t="s">
        <v>624</v>
      </c>
      <c r="G122" s="26"/>
      <c r="H122" s="27" t="s">
        <v>192</v>
      </c>
      <c r="I122" s="30"/>
      <c r="J122" s="29"/>
      <c r="K122" s="29"/>
    </row>
    <row r="123" spans="1:11" ht="9.6" customHeight="1">
      <c r="A123" s="22">
        <v>119</v>
      </c>
      <c r="B123" s="82" t="s">
        <v>489</v>
      </c>
      <c r="C123" s="23" t="s">
        <v>490</v>
      </c>
      <c r="D123" s="32" t="s">
        <v>625</v>
      </c>
      <c r="E123" s="83" t="s">
        <v>626</v>
      </c>
      <c r="F123" s="25" t="s">
        <v>627</v>
      </c>
      <c r="G123" s="26"/>
      <c r="H123" s="27" t="s">
        <v>192</v>
      </c>
      <c r="I123" s="30"/>
      <c r="J123" s="29"/>
      <c r="K123" s="29"/>
    </row>
    <row r="124" spans="1:11" ht="9.6" customHeight="1">
      <c r="A124" s="22">
        <v>120</v>
      </c>
      <c r="B124" s="82" t="s">
        <v>489</v>
      </c>
      <c r="C124" s="23" t="s">
        <v>490</v>
      </c>
      <c r="D124" s="32" t="s">
        <v>628</v>
      </c>
      <c r="E124" s="83" t="s">
        <v>629</v>
      </c>
      <c r="F124" s="25" t="s">
        <v>630</v>
      </c>
      <c r="G124" s="26"/>
      <c r="H124" s="27" t="s">
        <v>192</v>
      </c>
      <c r="I124" s="30"/>
      <c r="J124" s="29"/>
      <c r="K124" s="29"/>
    </row>
    <row r="125" spans="1:11" ht="9.6" customHeight="1">
      <c r="A125" s="22">
        <v>121</v>
      </c>
      <c r="B125" s="82" t="s">
        <v>489</v>
      </c>
      <c r="C125" s="23" t="s">
        <v>490</v>
      </c>
      <c r="D125" s="32" t="s">
        <v>631</v>
      </c>
      <c r="E125" s="83" t="s">
        <v>632</v>
      </c>
      <c r="F125" s="25" t="s">
        <v>633</v>
      </c>
      <c r="G125" s="26"/>
      <c r="H125" s="27" t="s">
        <v>192</v>
      </c>
      <c r="I125" s="30"/>
      <c r="J125" s="29"/>
      <c r="K125" s="29"/>
    </row>
    <row r="126" spans="1:11" ht="9.6" customHeight="1">
      <c r="A126" s="22">
        <v>122</v>
      </c>
      <c r="B126" s="82" t="s">
        <v>489</v>
      </c>
      <c r="C126" s="23" t="s">
        <v>490</v>
      </c>
      <c r="D126" s="32" t="s">
        <v>634</v>
      </c>
      <c r="E126" s="83" t="s">
        <v>635</v>
      </c>
      <c r="F126" s="25" t="s">
        <v>636</v>
      </c>
      <c r="G126" s="26"/>
      <c r="H126" s="27" t="s">
        <v>192</v>
      </c>
      <c r="I126" s="30"/>
      <c r="J126" s="29"/>
      <c r="K126" s="29"/>
    </row>
    <row r="127" spans="1:11" ht="9.6" customHeight="1">
      <c r="A127" s="22">
        <v>123</v>
      </c>
      <c r="B127" s="82" t="s">
        <v>489</v>
      </c>
      <c r="C127" s="23" t="s">
        <v>490</v>
      </c>
      <c r="D127" s="32" t="s">
        <v>637</v>
      </c>
      <c r="E127" s="83" t="s">
        <v>638</v>
      </c>
      <c r="F127" s="25" t="s">
        <v>639</v>
      </c>
      <c r="G127" s="26"/>
      <c r="H127" s="27" t="s">
        <v>192</v>
      </c>
      <c r="I127" s="30"/>
      <c r="J127" s="29"/>
      <c r="K127" s="29"/>
    </row>
    <row r="128" spans="1:11" ht="9.6" customHeight="1">
      <c r="A128" s="22">
        <v>124</v>
      </c>
      <c r="B128" s="82" t="s">
        <v>489</v>
      </c>
      <c r="C128" s="23" t="s">
        <v>490</v>
      </c>
      <c r="D128" s="32" t="s">
        <v>640</v>
      </c>
      <c r="E128" s="83" t="s">
        <v>641</v>
      </c>
      <c r="F128" s="25" t="s">
        <v>642</v>
      </c>
      <c r="G128" s="26"/>
      <c r="H128" s="27" t="s">
        <v>192</v>
      </c>
      <c r="I128" s="30"/>
      <c r="J128" s="29"/>
      <c r="K128" s="29"/>
    </row>
    <row r="129" spans="1:11" ht="9.6" customHeight="1">
      <c r="A129" s="22">
        <v>125</v>
      </c>
      <c r="B129" s="82" t="s">
        <v>489</v>
      </c>
      <c r="C129" s="23" t="s">
        <v>490</v>
      </c>
      <c r="D129" s="32" t="s">
        <v>643</v>
      </c>
      <c r="E129" s="83" t="s">
        <v>644</v>
      </c>
      <c r="F129" s="25" t="s">
        <v>645</v>
      </c>
      <c r="G129" s="26"/>
      <c r="H129" s="27" t="s">
        <v>192</v>
      </c>
      <c r="I129" s="30"/>
      <c r="J129" s="29"/>
      <c r="K129" s="29"/>
    </row>
    <row r="130" spans="1:11" ht="9.6" customHeight="1">
      <c r="A130" s="22">
        <v>126</v>
      </c>
      <c r="B130" s="82" t="s">
        <v>489</v>
      </c>
      <c r="C130" s="23" t="s">
        <v>490</v>
      </c>
      <c r="D130" s="32" t="s">
        <v>646</v>
      </c>
      <c r="E130" s="83" t="s">
        <v>647</v>
      </c>
      <c r="F130" s="25" t="s">
        <v>648</v>
      </c>
      <c r="G130" s="26"/>
      <c r="H130" s="27" t="s">
        <v>192</v>
      </c>
      <c r="I130" s="30"/>
      <c r="J130" s="29"/>
      <c r="K130" s="29"/>
    </row>
    <row r="131" spans="1:11" ht="9.6" customHeight="1">
      <c r="A131" s="22">
        <v>127</v>
      </c>
      <c r="B131" s="82" t="s">
        <v>489</v>
      </c>
      <c r="C131" s="23" t="s">
        <v>490</v>
      </c>
      <c r="D131" s="32" t="s">
        <v>649</v>
      </c>
      <c r="E131" s="83" t="s">
        <v>650</v>
      </c>
      <c r="F131" s="25" t="s">
        <v>651</v>
      </c>
      <c r="G131" s="26"/>
      <c r="H131" s="27" t="s">
        <v>192</v>
      </c>
      <c r="I131" s="30"/>
      <c r="J131" s="29"/>
      <c r="K131" s="29"/>
    </row>
    <row r="132" spans="1:11" ht="9.6" customHeight="1">
      <c r="A132" s="22">
        <v>128</v>
      </c>
      <c r="B132" s="82" t="s">
        <v>489</v>
      </c>
      <c r="C132" s="23" t="s">
        <v>490</v>
      </c>
      <c r="D132" s="32" t="s">
        <v>652</v>
      </c>
      <c r="E132" s="83" t="s">
        <v>653</v>
      </c>
      <c r="F132" s="25" t="s">
        <v>654</v>
      </c>
      <c r="G132" s="26"/>
      <c r="H132" s="27" t="s">
        <v>192</v>
      </c>
      <c r="I132" s="30"/>
      <c r="J132" s="29"/>
      <c r="K132" s="29"/>
    </row>
    <row r="133" spans="1:11" ht="9.6" customHeight="1">
      <c r="A133" s="22">
        <v>129</v>
      </c>
      <c r="B133" s="82" t="s">
        <v>489</v>
      </c>
      <c r="C133" s="23" t="s">
        <v>490</v>
      </c>
      <c r="D133" s="32" t="s">
        <v>655</v>
      </c>
      <c r="E133" s="83" t="s">
        <v>656</v>
      </c>
      <c r="F133" s="25" t="s">
        <v>657</v>
      </c>
      <c r="G133" s="26"/>
      <c r="H133" s="27" t="s">
        <v>192</v>
      </c>
      <c r="I133" s="30"/>
      <c r="J133" s="29"/>
      <c r="K133" s="29"/>
    </row>
    <row r="134" spans="1:11" ht="9.6" customHeight="1">
      <c r="A134" s="22">
        <v>130</v>
      </c>
      <c r="B134" s="82" t="s">
        <v>489</v>
      </c>
      <c r="C134" s="23" t="s">
        <v>490</v>
      </c>
      <c r="D134" s="32" t="s">
        <v>658</v>
      </c>
      <c r="E134" s="83" t="s">
        <v>659</v>
      </c>
      <c r="F134" s="25" t="s">
        <v>660</v>
      </c>
      <c r="G134" s="26"/>
      <c r="H134" s="27" t="s">
        <v>192</v>
      </c>
      <c r="I134" s="30"/>
      <c r="J134" s="29"/>
      <c r="K134" s="29"/>
    </row>
    <row r="135" spans="1:11" ht="9.6" customHeight="1">
      <c r="A135" s="22">
        <v>131</v>
      </c>
      <c r="B135" s="82" t="s">
        <v>489</v>
      </c>
      <c r="C135" s="23" t="s">
        <v>490</v>
      </c>
      <c r="D135" s="32" t="s">
        <v>661</v>
      </c>
      <c r="E135" s="83" t="s">
        <v>662</v>
      </c>
      <c r="F135" s="25" t="s">
        <v>663</v>
      </c>
      <c r="G135" s="26"/>
      <c r="H135" s="27" t="s">
        <v>192</v>
      </c>
      <c r="I135" s="30"/>
      <c r="J135" s="29"/>
      <c r="K135" s="29"/>
    </row>
    <row r="136" spans="1:11" ht="9.6" customHeight="1">
      <c r="A136" s="22">
        <v>132</v>
      </c>
      <c r="B136" s="82" t="s">
        <v>489</v>
      </c>
      <c r="C136" s="23" t="s">
        <v>490</v>
      </c>
      <c r="D136" s="32" t="s">
        <v>664</v>
      </c>
      <c r="E136" s="83" t="s">
        <v>665</v>
      </c>
      <c r="F136" s="25" t="s">
        <v>666</v>
      </c>
      <c r="G136" s="26"/>
      <c r="H136" s="27" t="s">
        <v>192</v>
      </c>
      <c r="I136" s="30"/>
      <c r="J136" s="29"/>
      <c r="K136" s="29"/>
    </row>
    <row r="137" spans="1:11" ht="9.6" customHeight="1">
      <c r="A137" s="22">
        <v>133</v>
      </c>
      <c r="B137" s="82" t="s">
        <v>489</v>
      </c>
      <c r="C137" s="23" t="s">
        <v>490</v>
      </c>
      <c r="D137" s="32" t="s">
        <v>667</v>
      </c>
      <c r="E137" s="83" t="s">
        <v>668</v>
      </c>
      <c r="F137" s="25" t="s">
        <v>669</v>
      </c>
      <c r="G137" s="26"/>
      <c r="H137" s="27" t="s">
        <v>192</v>
      </c>
      <c r="I137" s="30"/>
      <c r="J137" s="29"/>
      <c r="K137" s="29"/>
    </row>
    <row r="138" spans="1:11" ht="9.6" customHeight="1">
      <c r="A138" s="22">
        <v>134</v>
      </c>
      <c r="B138" s="82" t="s">
        <v>489</v>
      </c>
      <c r="C138" s="23" t="s">
        <v>490</v>
      </c>
      <c r="D138" s="32" t="s">
        <v>670</v>
      </c>
      <c r="E138" s="83" t="s">
        <v>671</v>
      </c>
      <c r="F138" s="25" t="s">
        <v>672</v>
      </c>
      <c r="G138" s="26"/>
      <c r="H138" s="27" t="s">
        <v>192</v>
      </c>
      <c r="I138" s="30"/>
      <c r="J138" s="29"/>
      <c r="K138" s="29"/>
    </row>
    <row r="139" spans="1:11" ht="9.6" customHeight="1">
      <c r="A139" s="22">
        <v>135</v>
      </c>
      <c r="B139" s="82" t="s">
        <v>489</v>
      </c>
      <c r="C139" s="23" t="s">
        <v>490</v>
      </c>
      <c r="D139" s="32" t="s">
        <v>673</v>
      </c>
      <c r="E139" s="83" t="s">
        <v>674</v>
      </c>
      <c r="F139" s="25" t="s">
        <v>675</v>
      </c>
      <c r="G139" s="26"/>
      <c r="H139" s="27" t="s">
        <v>192</v>
      </c>
      <c r="I139" s="30"/>
      <c r="J139" s="29"/>
      <c r="K139" s="29"/>
    </row>
    <row r="140" spans="1:11" ht="9.6" customHeight="1">
      <c r="A140" s="22">
        <v>136</v>
      </c>
      <c r="B140" s="82" t="s">
        <v>489</v>
      </c>
      <c r="C140" s="23" t="s">
        <v>490</v>
      </c>
      <c r="D140" s="32" t="s">
        <v>676</v>
      </c>
      <c r="E140" s="83" t="s">
        <v>677</v>
      </c>
      <c r="F140" s="25" t="s">
        <v>678</v>
      </c>
      <c r="G140" s="26"/>
      <c r="H140" s="27" t="s">
        <v>192</v>
      </c>
      <c r="I140" s="30"/>
      <c r="J140" s="29"/>
      <c r="K140" s="29"/>
    </row>
    <row r="141" spans="1:11" ht="9.6" customHeight="1">
      <c r="A141" s="22">
        <v>137</v>
      </c>
      <c r="B141" s="82" t="s">
        <v>489</v>
      </c>
      <c r="C141" s="23" t="s">
        <v>490</v>
      </c>
      <c r="D141" s="32" t="s">
        <v>679</v>
      </c>
      <c r="E141" s="83" t="s">
        <v>680</v>
      </c>
      <c r="F141" s="25" t="s">
        <v>681</v>
      </c>
      <c r="G141" s="26"/>
      <c r="H141" s="27" t="s">
        <v>682</v>
      </c>
      <c r="I141" s="30"/>
      <c r="J141" s="29"/>
      <c r="K141" s="29"/>
    </row>
    <row r="142" spans="1:11" ht="9.6" customHeight="1">
      <c r="A142" s="22">
        <v>138</v>
      </c>
      <c r="B142" s="82" t="s">
        <v>489</v>
      </c>
      <c r="C142" s="23" t="s">
        <v>490</v>
      </c>
      <c r="D142" s="32" t="s">
        <v>683</v>
      </c>
      <c r="E142" s="83" t="s">
        <v>684</v>
      </c>
      <c r="F142" s="25" t="s">
        <v>685</v>
      </c>
      <c r="G142" s="26"/>
      <c r="H142" s="27" t="s">
        <v>192</v>
      </c>
      <c r="I142" s="30"/>
      <c r="J142" s="29"/>
      <c r="K142" s="29"/>
    </row>
    <row r="143" spans="1:11" ht="9.6" customHeight="1">
      <c r="A143" s="22">
        <v>139</v>
      </c>
      <c r="B143" s="82" t="s">
        <v>489</v>
      </c>
      <c r="C143" s="23" t="s">
        <v>490</v>
      </c>
      <c r="D143" s="32" t="s">
        <v>686</v>
      </c>
      <c r="E143" s="83" t="s">
        <v>687</v>
      </c>
      <c r="F143" s="25" t="s">
        <v>688</v>
      </c>
      <c r="G143" s="26"/>
      <c r="H143" s="27" t="s">
        <v>192</v>
      </c>
      <c r="I143" s="30"/>
      <c r="J143" s="29"/>
      <c r="K143" s="29"/>
    </row>
    <row r="144" spans="1:11" ht="9.6" customHeight="1">
      <c r="A144" s="22">
        <v>140</v>
      </c>
      <c r="B144" s="82" t="s">
        <v>489</v>
      </c>
      <c r="C144" s="23" t="s">
        <v>490</v>
      </c>
      <c r="D144" s="32" t="s">
        <v>689</v>
      </c>
      <c r="E144" s="83" t="s">
        <v>690</v>
      </c>
      <c r="F144" s="25" t="s">
        <v>691</v>
      </c>
      <c r="G144" s="26"/>
      <c r="H144" s="27" t="s">
        <v>192</v>
      </c>
      <c r="I144" s="30"/>
      <c r="J144" s="29"/>
      <c r="K144" s="29"/>
    </row>
    <row r="145" spans="1:11" ht="9.6" customHeight="1">
      <c r="A145" s="22">
        <v>141</v>
      </c>
      <c r="B145" s="82" t="s">
        <v>489</v>
      </c>
      <c r="C145" s="23" t="s">
        <v>490</v>
      </c>
      <c r="D145" s="32" t="s">
        <v>692</v>
      </c>
      <c r="E145" s="83" t="s">
        <v>693</v>
      </c>
      <c r="F145" s="25" t="s">
        <v>694</v>
      </c>
      <c r="G145" s="26"/>
      <c r="H145" s="27" t="s">
        <v>192</v>
      </c>
      <c r="I145" s="30"/>
      <c r="J145" s="29"/>
      <c r="K145" s="29"/>
    </row>
    <row r="146" spans="1:11" ht="9.6" customHeight="1">
      <c r="A146" s="22">
        <v>142</v>
      </c>
      <c r="B146" s="82" t="s">
        <v>489</v>
      </c>
      <c r="C146" s="23" t="s">
        <v>490</v>
      </c>
      <c r="D146" s="32" t="s">
        <v>695</v>
      </c>
      <c r="E146" s="83" t="s">
        <v>696</v>
      </c>
      <c r="F146" s="25" t="s">
        <v>697</v>
      </c>
      <c r="G146" s="26"/>
      <c r="H146" s="27" t="s">
        <v>192</v>
      </c>
      <c r="I146" s="30"/>
      <c r="J146" s="29"/>
      <c r="K146" s="29"/>
    </row>
    <row r="147" spans="1:11" ht="9.6" customHeight="1">
      <c r="A147" s="22">
        <v>143</v>
      </c>
      <c r="B147" s="82" t="s">
        <v>489</v>
      </c>
      <c r="C147" s="23" t="s">
        <v>490</v>
      </c>
      <c r="D147" s="32" t="s">
        <v>698</v>
      </c>
      <c r="E147" s="83" t="s">
        <v>699</v>
      </c>
      <c r="F147" s="25" t="s">
        <v>700</v>
      </c>
      <c r="G147" s="26"/>
      <c r="H147" s="27" t="s">
        <v>192</v>
      </c>
      <c r="I147" s="30"/>
      <c r="J147" s="29"/>
      <c r="K147" s="29"/>
    </row>
    <row r="148" spans="1:11" ht="9.6" customHeight="1">
      <c r="A148" s="22">
        <v>144</v>
      </c>
      <c r="B148" s="82" t="s">
        <v>489</v>
      </c>
      <c r="C148" s="23" t="s">
        <v>490</v>
      </c>
      <c r="D148" s="32" t="s">
        <v>701</v>
      </c>
      <c r="E148" s="83" t="s">
        <v>702</v>
      </c>
      <c r="F148" s="25" t="s">
        <v>703</v>
      </c>
      <c r="G148" s="26"/>
      <c r="H148" s="27" t="s">
        <v>192</v>
      </c>
      <c r="I148" s="30"/>
      <c r="J148" s="29"/>
      <c r="K148" s="29"/>
    </row>
    <row r="149" spans="1:11" ht="9.6" customHeight="1">
      <c r="A149" s="22">
        <v>145</v>
      </c>
      <c r="B149" s="82" t="s">
        <v>489</v>
      </c>
      <c r="C149" s="23" t="s">
        <v>490</v>
      </c>
      <c r="D149" s="32" t="s">
        <v>704</v>
      </c>
      <c r="E149" s="83" t="s">
        <v>705</v>
      </c>
      <c r="F149" s="25" t="s">
        <v>706</v>
      </c>
      <c r="G149" s="26"/>
      <c r="H149" s="27" t="s">
        <v>192</v>
      </c>
      <c r="I149" s="30"/>
      <c r="J149" s="29"/>
      <c r="K149" s="29"/>
    </row>
    <row r="150" spans="1:11" ht="9.6" customHeight="1">
      <c r="A150" s="22">
        <v>146</v>
      </c>
      <c r="B150" s="82" t="s">
        <v>489</v>
      </c>
      <c r="C150" s="23" t="s">
        <v>490</v>
      </c>
      <c r="D150" s="32" t="s">
        <v>707</v>
      </c>
      <c r="E150" s="83" t="s">
        <v>708</v>
      </c>
      <c r="F150" s="25" t="s">
        <v>709</v>
      </c>
      <c r="G150" s="26"/>
      <c r="H150" s="27" t="s">
        <v>682</v>
      </c>
      <c r="I150" s="30"/>
      <c r="J150" s="29"/>
      <c r="K150" s="29"/>
    </row>
    <row r="151" spans="1:11" ht="9.6" customHeight="1">
      <c r="A151" s="22">
        <v>147</v>
      </c>
      <c r="B151" s="82" t="s">
        <v>489</v>
      </c>
      <c r="C151" s="23" t="s">
        <v>490</v>
      </c>
      <c r="D151" s="32" t="s">
        <v>710</v>
      </c>
      <c r="E151" s="83" t="s">
        <v>711</v>
      </c>
      <c r="F151" s="25" t="s">
        <v>712</v>
      </c>
      <c r="G151" s="26"/>
      <c r="H151" s="27" t="s">
        <v>192</v>
      </c>
      <c r="I151" s="30"/>
      <c r="J151" s="29"/>
      <c r="K151" s="29"/>
    </row>
    <row r="152" spans="1:11" ht="9.6" customHeight="1">
      <c r="A152" s="22">
        <v>148</v>
      </c>
      <c r="B152" s="82" t="s">
        <v>489</v>
      </c>
      <c r="C152" s="23" t="s">
        <v>490</v>
      </c>
      <c r="D152" s="32" t="s">
        <v>713</v>
      </c>
      <c r="E152" s="83" t="s">
        <v>714</v>
      </c>
      <c r="F152" s="25" t="s">
        <v>715</v>
      </c>
      <c r="G152" s="26"/>
      <c r="H152" s="27" t="s">
        <v>192</v>
      </c>
      <c r="I152" s="30"/>
      <c r="J152" s="29"/>
      <c r="K152" s="29"/>
    </row>
    <row r="153" spans="1:11" ht="9.6" customHeight="1">
      <c r="A153" s="22">
        <v>149</v>
      </c>
      <c r="B153" s="82" t="s">
        <v>489</v>
      </c>
      <c r="C153" s="23" t="s">
        <v>490</v>
      </c>
      <c r="D153" s="32" t="s">
        <v>716</v>
      </c>
      <c r="E153" s="83" t="s">
        <v>717</v>
      </c>
      <c r="F153" s="25" t="s">
        <v>718</v>
      </c>
      <c r="G153" s="26"/>
      <c r="H153" s="27" t="s">
        <v>192</v>
      </c>
      <c r="I153" s="30"/>
      <c r="J153" s="29"/>
      <c r="K153" s="29"/>
    </row>
    <row r="154" spans="1:11" ht="9.6" customHeight="1">
      <c r="A154" s="22">
        <v>150</v>
      </c>
      <c r="B154" s="82" t="s">
        <v>489</v>
      </c>
      <c r="C154" s="23" t="s">
        <v>490</v>
      </c>
      <c r="D154" s="32" t="s">
        <v>719</v>
      </c>
      <c r="E154" s="83" t="s">
        <v>720</v>
      </c>
      <c r="F154" s="25" t="s">
        <v>721</v>
      </c>
      <c r="G154" s="26"/>
      <c r="H154" s="27" t="s">
        <v>192</v>
      </c>
      <c r="I154" s="30"/>
      <c r="J154" s="29"/>
      <c r="K154" s="29"/>
    </row>
    <row r="155" spans="1:11" ht="9.6" customHeight="1">
      <c r="A155" s="22">
        <v>151</v>
      </c>
      <c r="B155" s="82" t="s">
        <v>489</v>
      </c>
      <c r="C155" s="23" t="s">
        <v>490</v>
      </c>
      <c r="D155" s="32" t="s">
        <v>722</v>
      </c>
      <c r="E155" s="83" t="s">
        <v>723</v>
      </c>
      <c r="F155" s="25" t="s">
        <v>724</v>
      </c>
      <c r="G155" s="26"/>
      <c r="H155" s="27" t="s">
        <v>192</v>
      </c>
      <c r="I155" s="30"/>
      <c r="J155" s="29"/>
      <c r="K155" s="29"/>
    </row>
    <row r="156" spans="1:11" ht="9.6" customHeight="1">
      <c r="A156" s="22">
        <v>152</v>
      </c>
      <c r="B156" s="82" t="s">
        <v>489</v>
      </c>
      <c r="C156" s="31" t="s">
        <v>725</v>
      </c>
      <c r="D156" s="32" t="s">
        <v>726</v>
      </c>
      <c r="E156" s="86" t="s">
        <v>727</v>
      </c>
      <c r="F156" s="87" t="s">
        <v>728</v>
      </c>
      <c r="G156" s="26"/>
      <c r="H156" s="27" t="s">
        <v>729</v>
      </c>
      <c r="I156" s="30"/>
      <c r="J156" s="29"/>
      <c r="K156" s="29"/>
    </row>
    <row r="157" spans="1:11" ht="9.6" customHeight="1">
      <c r="A157" s="22">
        <v>153</v>
      </c>
      <c r="B157" s="82" t="s">
        <v>489</v>
      </c>
      <c r="C157" s="31" t="s">
        <v>725</v>
      </c>
      <c r="D157" s="32" t="s">
        <v>730</v>
      </c>
      <c r="E157" s="34" t="s">
        <v>731</v>
      </c>
      <c r="F157" s="29" t="s">
        <v>732</v>
      </c>
      <c r="G157" s="26"/>
      <c r="H157" s="27" t="s">
        <v>729</v>
      </c>
      <c r="I157" s="30"/>
      <c r="J157" s="29"/>
      <c r="K157" s="29"/>
    </row>
    <row r="158" spans="1:11" ht="9.6" customHeight="1">
      <c r="A158" s="22">
        <v>154</v>
      </c>
      <c r="B158" s="82" t="s">
        <v>489</v>
      </c>
      <c r="C158" s="31" t="s">
        <v>490</v>
      </c>
      <c r="D158" s="32" t="s">
        <v>733</v>
      </c>
      <c r="E158" s="62" t="s">
        <v>734</v>
      </c>
      <c r="F158" s="33" t="s">
        <v>735</v>
      </c>
      <c r="G158" s="61" t="s">
        <v>736</v>
      </c>
      <c r="H158" s="27" t="s">
        <v>192</v>
      </c>
      <c r="I158" s="34"/>
      <c r="J158" s="29"/>
      <c r="K158" s="29"/>
    </row>
    <row r="159" spans="1:11" s="35" customFormat="1" ht="9.6" customHeight="1">
      <c r="A159" s="22">
        <v>155</v>
      </c>
      <c r="B159" s="82" t="s">
        <v>489</v>
      </c>
      <c r="C159" s="31" t="s">
        <v>490</v>
      </c>
      <c r="D159" s="32" t="s">
        <v>737</v>
      </c>
      <c r="E159" s="62" t="s">
        <v>738</v>
      </c>
      <c r="F159" s="25" t="s">
        <v>739</v>
      </c>
      <c r="G159" s="26"/>
      <c r="H159" s="27" t="s">
        <v>192</v>
      </c>
      <c r="I159" s="34"/>
      <c r="J159" s="33"/>
      <c r="K159" s="33"/>
    </row>
    <row r="160" spans="1:11" s="35" customFormat="1" ht="9.6" customHeight="1">
      <c r="A160" s="22">
        <v>156</v>
      </c>
      <c r="B160" s="82" t="s">
        <v>489</v>
      </c>
      <c r="C160" s="31" t="s">
        <v>490</v>
      </c>
      <c r="D160" s="32" t="s">
        <v>740</v>
      </c>
      <c r="E160" s="62" t="s">
        <v>741</v>
      </c>
      <c r="F160" s="29" t="s">
        <v>742</v>
      </c>
      <c r="G160" s="61" t="s">
        <v>743</v>
      </c>
      <c r="H160" s="27" t="s">
        <v>192</v>
      </c>
      <c r="I160" s="34"/>
      <c r="J160" s="33"/>
      <c r="K160" s="33"/>
    </row>
    <row r="161" spans="1:11" ht="9.6" customHeight="1">
      <c r="A161" s="22">
        <v>157</v>
      </c>
      <c r="B161" s="82" t="s">
        <v>489</v>
      </c>
      <c r="C161" s="23" t="s">
        <v>519</v>
      </c>
      <c r="D161" s="32" t="s">
        <v>744</v>
      </c>
      <c r="E161" s="62" t="s">
        <v>745</v>
      </c>
      <c r="F161" s="29" t="s">
        <v>746</v>
      </c>
      <c r="G161" s="26"/>
      <c r="H161" s="27" t="s">
        <v>747</v>
      </c>
      <c r="I161" s="30"/>
      <c r="J161" s="29"/>
      <c r="K161" s="29"/>
    </row>
    <row r="162" spans="1:11" s="44" customFormat="1" ht="9.6" customHeight="1">
      <c r="A162" s="22">
        <v>158</v>
      </c>
      <c r="B162" s="82" t="s">
        <v>489</v>
      </c>
      <c r="C162" s="37" t="s">
        <v>490</v>
      </c>
      <c r="D162" s="38" t="s">
        <v>748</v>
      </c>
      <c r="E162" s="88" t="s">
        <v>302</v>
      </c>
      <c r="F162" s="39" t="s">
        <v>749</v>
      </c>
      <c r="G162" s="89"/>
      <c r="H162" s="41" t="s">
        <v>494</v>
      </c>
      <c r="I162" s="90"/>
      <c r="J162" s="42"/>
      <c r="K162" s="42"/>
    </row>
    <row r="163" spans="1:11" ht="9.6" customHeight="1">
      <c r="A163" s="22">
        <v>159</v>
      </c>
      <c r="B163" s="82" t="s">
        <v>489</v>
      </c>
      <c r="C163" s="23" t="s">
        <v>519</v>
      </c>
      <c r="D163" s="32" t="s">
        <v>750</v>
      </c>
      <c r="E163" s="62" t="s">
        <v>751</v>
      </c>
      <c r="F163" s="28" t="s">
        <v>752</v>
      </c>
      <c r="G163" s="26"/>
      <c r="H163" s="27" t="s">
        <v>747</v>
      </c>
      <c r="I163" s="30"/>
      <c r="J163" s="29"/>
      <c r="K163" s="29"/>
    </row>
    <row r="164" spans="1:11" ht="9.6" customHeight="1">
      <c r="A164" s="22">
        <v>160</v>
      </c>
      <c r="B164" s="82" t="s">
        <v>489</v>
      </c>
      <c r="C164" s="23" t="s">
        <v>519</v>
      </c>
      <c r="D164" s="32" t="s">
        <v>753</v>
      </c>
      <c r="E164" s="62" t="s">
        <v>754</v>
      </c>
      <c r="F164" s="28" t="s">
        <v>755</v>
      </c>
      <c r="G164" s="61" t="s">
        <v>756</v>
      </c>
      <c r="H164" s="27" t="s">
        <v>757</v>
      </c>
      <c r="I164" s="30"/>
      <c r="J164" s="29"/>
      <c r="K164" s="29"/>
    </row>
    <row r="165" spans="1:11" ht="9.6" customHeight="1">
      <c r="A165" s="22">
        <v>161</v>
      </c>
      <c r="B165" s="82" t="s">
        <v>489</v>
      </c>
      <c r="C165" s="23"/>
      <c r="D165" s="24" t="s">
        <v>758</v>
      </c>
      <c r="E165" s="62" t="s">
        <v>759</v>
      </c>
      <c r="F165" s="28" t="s">
        <v>760</v>
      </c>
      <c r="G165" s="61"/>
      <c r="H165" s="27" t="s">
        <v>761</v>
      </c>
      <c r="I165" s="30"/>
      <c r="J165" s="29"/>
      <c r="K165" s="29"/>
    </row>
    <row r="166" spans="1:11" ht="9.6" customHeight="1">
      <c r="A166" s="22">
        <v>162</v>
      </c>
      <c r="B166" s="82" t="s">
        <v>489</v>
      </c>
      <c r="C166" s="23"/>
      <c r="D166" s="24" t="s">
        <v>762</v>
      </c>
      <c r="E166" s="62" t="s">
        <v>763</v>
      </c>
      <c r="F166" s="28" t="s">
        <v>764</v>
      </c>
      <c r="G166" s="61"/>
      <c r="H166" s="27" t="s">
        <v>761</v>
      </c>
      <c r="I166" s="30"/>
      <c r="J166" s="29"/>
      <c r="K166" s="29"/>
    </row>
    <row r="167" spans="1:11" ht="9.6" customHeight="1">
      <c r="A167" s="22">
        <v>163</v>
      </c>
      <c r="B167" s="82" t="s">
        <v>489</v>
      </c>
      <c r="C167" s="23"/>
      <c r="D167" s="24" t="s">
        <v>765</v>
      </c>
      <c r="E167" s="62" t="s">
        <v>766</v>
      </c>
      <c r="F167" s="28" t="s">
        <v>767</v>
      </c>
      <c r="G167" s="61"/>
      <c r="H167" s="27" t="s">
        <v>761</v>
      </c>
      <c r="I167" s="30"/>
      <c r="J167" s="29"/>
      <c r="K167" s="29"/>
    </row>
    <row r="168" spans="1:11" ht="9.6" customHeight="1">
      <c r="A168" s="22">
        <v>164</v>
      </c>
      <c r="B168" s="82" t="s">
        <v>489</v>
      </c>
      <c r="C168" s="23"/>
      <c r="D168" s="24" t="s">
        <v>768</v>
      </c>
      <c r="E168" s="62" t="s">
        <v>769</v>
      </c>
      <c r="F168" s="28" t="s">
        <v>770</v>
      </c>
      <c r="G168" s="61"/>
      <c r="H168" s="27" t="s">
        <v>761</v>
      </c>
      <c r="I168" s="30"/>
      <c r="J168" s="29"/>
      <c r="K168" s="29"/>
    </row>
    <row r="169" spans="1:11" ht="9.6" customHeight="1">
      <c r="A169" s="22">
        <v>165</v>
      </c>
      <c r="B169" s="82" t="s">
        <v>489</v>
      </c>
      <c r="C169" s="23"/>
      <c r="D169" s="24" t="s">
        <v>771</v>
      </c>
      <c r="E169" s="62" t="s">
        <v>772</v>
      </c>
      <c r="F169" s="28" t="s">
        <v>773</v>
      </c>
      <c r="G169" s="61"/>
      <c r="H169" s="27" t="s">
        <v>761</v>
      </c>
      <c r="I169" s="30"/>
      <c r="J169" s="29"/>
      <c r="K169" s="29"/>
    </row>
    <row r="170" spans="1:11" ht="9.6" customHeight="1">
      <c r="A170" s="22">
        <v>166</v>
      </c>
      <c r="B170" s="82" t="s">
        <v>489</v>
      </c>
      <c r="C170" s="23"/>
      <c r="D170" s="24" t="s">
        <v>774</v>
      </c>
      <c r="E170" s="62" t="s">
        <v>775</v>
      </c>
      <c r="F170" s="28" t="s">
        <v>776</v>
      </c>
      <c r="G170" s="61"/>
      <c r="H170" s="27" t="s">
        <v>761</v>
      </c>
      <c r="I170" s="30"/>
      <c r="J170" s="29"/>
      <c r="K170" s="29"/>
    </row>
    <row r="171" spans="1:11" ht="9.6" customHeight="1">
      <c r="A171" s="22">
        <v>167</v>
      </c>
      <c r="B171" s="82" t="s">
        <v>489</v>
      </c>
      <c r="C171" s="23"/>
      <c r="D171" s="24" t="s">
        <v>777</v>
      </c>
      <c r="E171" s="62" t="s">
        <v>778</v>
      </c>
      <c r="F171" s="28" t="s">
        <v>779</v>
      </c>
      <c r="G171" s="61"/>
      <c r="H171" s="27" t="s">
        <v>761</v>
      </c>
      <c r="I171" s="30"/>
      <c r="J171" s="29"/>
      <c r="K171" s="29"/>
    </row>
    <row r="172" spans="1:11" ht="9.6" customHeight="1">
      <c r="A172" s="22">
        <v>168</v>
      </c>
      <c r="B172" s="82" t="s">
        <v>489</v>
      </c>
      <c r="C172" s="23"/>
      <c r="D172" s="24" t="s">
        <v>780</v>
      </c>
      <c r="E172" s="62" t="s">
        <v>781</v>
      </c>
      <c r="F172" s="28" t="s">
        <v>782</v>
      </c>
      <c r="G172" s="61"/>
      <c r="H172" s="27" t="s">
        <v>761</v>
      </c>
      <c r="I172" s="30"/>
      <c r="J172" s="29"/>
      <c r="K172" s="29"/>
    </row>
    <row r="173" spans="1:11" ht="9.6" customHeight="1">
      <c r="A173" s="22">
        <v>169</v>
      </c>
      <c r="B173" s="82" t="s">
        <v>489</v>
      </c>
      <c r="C173" s="23"/>
      <c r="D173" s="24" t="s">
        <v>783</v>
      </c>
      <c r="E173" s="62" t="s">
        <v>784</v>
      </c>
      <c r="F173" s="28" t="s">
        <v>785</v>
      </c>
      <c r="G173" s="61"/>
      <c r="H173" s="27" t="s">
        <v>761</v>
      </c>
      <c r="I173" s="30"/>
      <c r="J173" s="29"/>
      <c r="K173" s="29"/>
    </row>
    <row r="174" spans="1:11" ht="9.6" customHeight="1">
      <c r="A174" s="22">
        <v>170</v>
      </c>
      <c r="B174" s="82" t="s">
        <v>489</v>
      </c>
      <c r="C174" s="23"/>
      <c r="D174" s="24" t="s">
        <v>786</v>
      </c>
      <c r="E174" s="62" t="s">
        <v>787</v>
      </c>
      <c r="F174" s="28" t="s">
        <v>788</v>
      </c>
      <c r="G174" s="61"/>
      <c r="H174" s="27" t="s">
        <v>761</v>
      </c>
      <c r="I174" s="30"/>
      <c r="J174" s="29"/>
      <c r="K174" s="29"/>
    </row>
    <row r="175" spans="1:11" ht="9.6" customHeight="1">
      <c r="A175" s="22">
        <v>171</v>
      </c>
      <c r="B175" s="82" t="s">
        <v>489</v>
      </c>
      <c r="C175" s="23"/>
      <c r="D175" s="24" t="s">
        <v>789</v>
      </c>
      <c r="E175" s="62" t="s">
        <v>790</v>
      </c>
      <c r="F175" s="28" t="s">
        <v>791</v>
      </c>
      <c r="G175" s="61"/>
      <c r="H175" s="27" t="s">
        <v>761</v>
      </c>
      <c r="I175" s="30"/>
      <c r="J175" s="29"/>
      <c r="K175" s="29"/>
    </row>
    <row r="176" spans="1:11" ht="9.6" customHeight="1">
      <c r="A176" s="22">
        <v>172</v>
      </c>
      <c r="B176" s="82" t="s">
        <v>489</v>
      </c>
      <c r="C176" s="23"/>
      <c r="D176" s="24" t="s">
        <v>792</v>
      </c>
      <c r="E176" s="62" t="s">
        <v>793</v>
      </c>
      <c r="F176" s="28" t="s">
        <v>794</v>
      </c>
      <c r="G176" s="61"/>
      <c r="H176" s="27" t="s">
        <v>761</v>
      </c>
      <c r="I176" s="30"/>
      <c r="J176" s="29"/>
      <c r="K176" s="29"/>
    </row>
    <row r="177" spans="1:11" ht="9.6" customHeight="1">
      <c r="A177" s="22">
        <v>173</v>
      </c>
      <c r="B177" s="82" t="s">
        <v>489</v>
      </c>
      <c r="C177" s="23"/>
      <c r="D177" s="24" t="s">
        <v>795</v>
      </c>
      <c r="E177" s="62" t="s">
        <v>796</v>
      </c>
      <c r="F177" s="28" t="s">
        <v>797</v>
      </c>
      <c r="G177" s="61"/>
      <c r="H177" s="27" t="s">
        <v>761</v>
      </c>
      <c r="I177" s="30"/>
      <c r="J177" s="29"/>
      <c r="K177" s="29"/>
    </row>
    <row r="178" spans="1:11" ht="9.6" customHeight="1">
      <c r="A178" s="22">
        <v>174</v>
      </c>
      <c r="B178" s="82" t="s">
        <v>489</v>
      </c>
      <c r="C178" s="23"/>
      <c r="D178" s="24" t="s">
        <v>798</v>
      </c>
      <c r="E178" s="62" t="s">
        <v>799</v>
      </c>
      <c r="F178" s="28" t="s">
        <v>800</v>
      </c>
      <c r="G178" s="61"/>
      <c r="H178" s="27" t="s">
        <v>761</v>
      </c>
      <c r="I178" s="30"/>
      <c r="J178" s="29"/>
      <c r="K178" s="29"/>
    </row>
    <row r="179" spans="1:11" ht="9.6" customHeight="1">
      <c r="A179" s="22">
        <v>175</v>
      </c>
      <c r="B179" s="82" t="s">
        <v>489</v>
      </c>
      <c r="C179" s="23"/>
      <c r="D179" s="24" t="s">
        <v>801</v>
      </c>
      <c r="E179" s="62" t="s">
        <v>802</v>
      </c>
      <c r="F179" s="28" t="s">
        <v>803</v>
      </c>
      <c r="G179" s="61"/>
      <c r="H179" s="27" t="s">
        <v>761</v>
      </c>
      <c r="I179" s="30"/>
      <c r="J179" s="29"/>
      <c r="K179" s="29"/>
    </row>
    <row r="180" spans="1:11" ht="9.6" customHeight="1">
      <c r="A180" s="22">
        <v>176</v>
      </c>
      <c r="B180" s="82" t="s">
        <v>489</v>
      </c>
      <c r="C180" s="23"/>
      <c r="D180" s="24" t="s">
        <v>804</v>
      </c>
      <c r="E180" s="62" t="s">
        <v>805</v>
      </c>
      <c r="F180" s="28" t="s">
        <v>806</v>
      </c>
      <c r="G180" s="61"/>
      <c r="H180" s="27" t="s">
        <v>761</v>
      </c>
      <c r="I180" s="30"/>
      <c r="J180" s="29"/>
      <c r="K180" s="29"/>
    </row>
    <row r="181" spans="1:11" ht="9.6" customHeight="1">
      <c r="A181" s="22">
        <v>177</v>
      </c>
      <c r="B181" s="82" t="s">
        <v>489</v>
      </c>
      <c r="C181" s="23"/>
      <c r="D181" s="24" t="s">
        <v>807</v>
      </c>
      <c r="E181" s="62" t="s">
        <v>808</v>
      </c>
      <c r="F181" s="28" t="s">
        <v>809</v>
      </c>
      <c r="G181" s="61"/>
      <c r="H181" s="27" t="s">
        <v>761</v>
      </c>
      <c r="I181" s="30"/>
      <c r="J181" s="29"/>
      <c r="K181" s="29"/>
    </row>
    <row r="182" spans="1:11" ht="9.6" customHeight="1">
      <c r="A182" s="22">
        <v>178</v>
      </c>
      <c r="B182" s="82" t="s">
        <v>489</v>
      </c>
      <c r="C182" s="23"/>
      <c r="D182" s="24" t="s">
        <v>810</v>
      </c>
      <c r="E182" s="62" t="s">
        <v>811</v>
      </c>
      <c r="F182" s="28" t="s">
        <v>812</v>
      </c>
      <c r="G182" s="61"/>
      <c r="H182" s="27" t="s">
        <v>761</v>
      </c>
      <c r="I182" s="30"/>
      <c r="J182" s="29"/>
      <c r="K182" s="29"/>
    </row>
    <row r="183" spans="1:11" ht="9.6" customHeight="1">
      <c r="A183" s="22">
        <v>179</v>
      </c>
      <c r="B183" s="82" t="s">
        <v>489</v>
      </c>
      <c r="C183" s="23"/>
      <c r="D183" s="24" t="s">
        <v>813</v>
      </c>
      <c r="E183" s="62" t="s">
        <v>814</v>
      </c>
      <c r="F183" s="28" t="s">
        <v>815</v>
      </c>
      <c r="G183" s="61"/>
      <c r="H183" s="27"/>
      <c r="I183" s="30"/>
      <c r="J183" s="29"/>
      <c r="K183" s="29"/>
    </row>
    <row r="184" spans="1:11" ht="9.6" customHeight="1">
      <c r="A184" s="22">
        <v>180</v>
      </c>
      <c r="B184" s="82" t="s">
        <v>489</v>
      </c>
      <c r="C184" s="23"/>
      <c r="D184" s="24" t="s">
        <v>816</v>
      </c>
      <c r="E184" s="62" t="s">
        <v>817</v>
      </c>
      <c r="F184" s="28" t="s">
        <v>818</v>
      </c>
      <c r="G184" s="61"/>
      <c r="H184" s="27"/>
      <c r="I184" s="30"/>
      <c r="J184" s="29"/>
      <c r="K184" s="29"/>
    </row>
    <row r="185" spans="1:11">
      <c r="F185" s="12"/>
      <c r="G185" s="12"/>
      <c r="H185" s="16"/>
    </row>
    <row r="186" spans="1:11">
      <c r="F186" s="12"/>
      <c r="G186" s="12"/>
      <c r="H186" s="16"/>
    </row>
    <row r="187" spans="1:11">
      <c r="F187" s="12"/>
      <c r="G187" s="12"/>
      <c r="H187" s="16"/>
    </row>
    <row r="188" spans="1:11">
      <c r="F188" s="12"/>
      <c r="G188" s="12"/>
      <c r="H188" s="16"/>
    </row>
    <row r="189" spans="1:11">
      <c r="F189" s="12"/>
      <c r="G189" s="12"/>
      <c r="H189" s="16"/>
    </row>
    <row r="190" spans="1:11">
      <c r="F190" s="12"/>
      <c r="G190" s="12"/>
      <c r="H190" s="16"/>
    </row>
    <row r="191" spans="1:11">
      <c r="F191" s="12"/>
      <c r="G191" s="12"/>
      <c r="H191" s="16"/>
    </row>
    <row r="192" spans="1:11">
      <c r="F192" s="12"/>
      <c r="G192" s="12"/>
      <c r="H192" s="16"/>
    </row>
    <row r="193" spans="6:8">
      <c r="F193" s="12"/>
      <c r="G193" s="12"/>
      <c r="H193" s="16"/>
    </row>
    <row r="194" spans="6:8">
      <c r="F194" s="12"/>
      <c r="G194" s="12"/>
      <c r="H194" s="16"/>
    </row>
    <row r="195" spans="6:8">
      <c r="F195" s="12"/>
      <c r="G195" s="12"/>
      <c r="H195" s="16"/>
    </row>
    <row r="196" spans="6:8">
      <c r="F196" s="12"/>
      <c r="G196" s="12"/>
      <c r="H196" s="16"/>
    </row>
    <row r="197" spans="6:8">
      <c r="F197" s="12"/>
      <c r="G197" s="12"/>
      <c r="H197" s="16"/>
    </row>
    <row r="198" spans="6:8">
      <c r="F198" s="12"/>
      <c r="G198" s="12"/>
      <c r="H198" s="16"/>
    </row>
    <row r="199" spans="6:8">
      <c r="F199" s="12"/>
      <c r="G199" s="12"/>
      <c r="H199" s="16"/>
    </row>
    <row r="200" spans="6:8">
      <c r="F200" s="12"/>
      <c r="G200" s="12"/>
      <c r="H200" s="16"/>
    </row>
    <row r="201" spans="6:8">
      <c r="F201" s="12"/>
      <c r="G201" s="12"/>
      <c r="H201" s="16"/>
    </row>
    <row r="202" spans="6:8">
      <c r="F202" s="12"/>
      <c r="G202" s="12"/>
      <c r="H202" s="16"/>
    </row>
    <row r="203" spans="6:8">
      <c r="F203" s="12"/>
      <c r="G203" s="12"/>
      <c r="H203" s="16"/>
    </row>
    <row r="204" spans="6:8">
      <c r="F204" s="12"/>
      <c r="G204" s="12"/>
      <c r="H204" s="16"/>
    </row>
    <row r="205" spans="6:8">
      <c r="F205" s="12"/>
      <c r="G205" s="12"/>
      <c r="H205" s="16"/>
    </row>
    <row r="206" spans="6:8">
      <c r="F206" s="12"/>
      <c r="G206" s="12"/>
      <c r="H206" s="16"/>
    </row>
    <row r="207" spans="6:8">
      <c r="F207" s="12"/>
      <c r="G207" s="12"/>
      <c r="H207" s="16"/>
    </row>
    <row r="208" spans="6:8">
      <c r="F208" s="12"/>
      <c r="G208" s="12"/>
      <c r="H208" s="16"/>
    </row>
    <row r="209" spans="6:8">
      <c r="F209" s="12"/>
      <c r="G209" s="12"/>
      <c r="H209" s="16"/>
    </row>
    <row r="210" spans="6:8">
      <c r="F210" s="12"/>
      <c r="G210" s="12"/>
      <c r="H210" s="16"/>
    </row>
    <row r="211" spans="6:8">
      <c r="F211" s="12"/>
      <c r="G211" s="12"/>
      <c r="H211" s="16"/>
    </row>
    <row r="212" spans="6:8">
      <c r="F212" s="12"/>
      <c r="G212" s="12"/>
      <c r="H212" s="16"/>
    </row>
    <row r="213" spans="6:8">
      <c r="F213" s="12"/>
      <c r="G213" s="12"/>
      <c r="H213" s="16"/>
    </row>
    <row r="214" spans="6:8">
      <c r="F214" s="12"/>
      <c r="G214" s="12"/>
      <c r="H214" s="16"/>
    </row>
    <row r="215" spans="6:8">
      <c r="F215" s="12"/>
      <c r="G215" s="12"/>
      <c r="H215" s="16"/>
    </row>
    <row r="216" spans="6:8">
      <c r="F216" s="12"/>
      <c r="G216" s="12"/>
      <c r="H216" s="16"/>
    </row>
    <row r="217" spans="6:8">
      <c r="F217" s="12"/>
      <c r="G217" s="12"/>
      <c r="H217" s="16"/>
    </row>
    <row r="218" spans="6:8">
      <c r="F218" s="12"/>
      <c r="G218" s="12"/>
      <c r="H218" s="16"/>
    </row>
    <row r="219" spans="6:8">
      <c r="F219" s="12"/>
      <c r="G219" s="12"/>
      <c r="H219" s="16"/>
    </row>
    <row r="220" spans="6:8">
      <c r="F220" s="12"/>
      <c r="G220" s="12"/>
      <c r="H220" s="16"/>
    </row>
    <row r="221" spans="6:8">
      <c r="F221" s="12"/>
      <c r="G221" s="12"/>
      <c r="H221" s="16"/>
    </row>
    <row r="222" spans="6:8">
      <c r="F222" s="12"/>
      <c r="G222" s="12"/>
      <c r="H222" s="16"/>
    </row>
    <row r="223" spans="6:8">
      <c r="F223" s="12"/>
      <c r="G223" s="12"/>
      <c r="H223" s="16"/>
    </row>
    <row r="224" spans="6:8">
      <c r="F224" s="12"/>
      <c r="G224" s="12"/>
      <c r="H224" s="16"/>
    </row>
    <row r="225" spans="6:8">
      <c r="F225" s="12"/>
      <c r="G225" s="12"/>
      <c r="H225" s="16"/>
    </row>
    <row r="226" spans="6:8">
      <c r="F226" s="12"/>
      <c r="G226" s="12"/>
      <c r="H226" s="16"/>
    </row>
    <row r="227" spans="6:8">
      <c r="F227" s="12"/>
      <c r="G227" s="12"/>
      <c r="H227" s="16"/>
    </row>
    <row r="228" spans="6:8">
      <c r="F228" s="12"/>
      <c r="G228" s="12"/>
      <c r="H228" s="16"/>
    </row>
    <row r="229" spans="6:8">
      <c r="F229" s="12"/>
      <c r="G229" s="12"/>
      <c r="H229" s="16"/>
    </row>
    <row r="230" spans="6:8">
      <c r="F230" s="12"/>
      <c r="G230" s="12"/>
      <c r="H230" s="16"/>
    </row>
    <row r="231" spans="6:8">
      <c r="F231" s="12"/>
      <c r="G231" s="12"/>
      <c r="H231" s="16"/>
    </row>
    <row r="232" spans="6:8">
      <c r="F232" s="12"/>
      <c r="G232" s="12"/>
      <c r="H232" s="16"/>
    </row>
    <row r="233" spans="6:8">
      <c r="F233" s="12"/>
      <c r="G233" s="12"/>
      <c r="H233" s="16"/>
    </row>
    <row r="234" spans="6:8">
      <c r="F234" s="12"/>
      <c r="G234" s="12"/>
      <c r="H234" s="16"/>
    </row>
    <row r="235" spans="6:8">
      <c r="F235" s="12"/>
      <c r="G235" s="12"/>
      <c r="H235" s="16"/>
    </row>
    <row r="236" spans="6:8">
      <c r="F236" s="12"/>
      <c r="G236" s="12"/>
      <c r="H236" s="16"/>
    </row>
    <row r="237" spans="6:8">
      <c r="F237" s="12"/>
      <c r="G237" s="12"/>
      <c r="H237" s="16"/>
    </row>
    <row r="238" spans="6:8">
      <c r="F238" s="12"/>
      <c r="G238" s="12"/>
      <c r="H238" s="16"/>
    </row>
    <row r="239" spans="6:8">
      <c r="F239" s="12"/>
      <c r="G239" s="12"/>
      <c r="H239" s="16"/>
    </row>
    <row r="240" spans="6:8">
      <c r="F240" s="12"/>
      <c r="G240" s="12"/>
      <c r="H240" s="16"/>
    </row>
    <row r="241" spans="6:8">
      <c r="F241" s="12"/>
      <c r="G241" s="12"/>
      <c r="H241" s="16"/>
    </row>
    <row r="242" spans="6:8">
      <c r="F242" s="12"/>
      <c r="G242" s="12"/>
      <c r="H242" s="16"/>
    </row>
    <row r="243" spans="6:8">
      <c r="F243" s="12"/>
      <c r="G243" s="12"/>
      <c r="H243" s="16"/>
    </row>
    <row r="244" spans="6:8">
      <c r="F244" s="12"/>
      <c r="G244" s="12"/>
      <c r="H244" s="16"/>
    </row>
    <row r="245" spans="6:8">
      <c r="F245" s="12"/>
      <c r="G245" s="12"/>
      <c r="H245" s="16"/>
    </row>
    <row r="246" spans="6:8">
      <c r="F246" s="12"/>
      <c r="G246" s="12"/>
      <c r="H246" s="16"/>
    </row>
    <row r="247" spans="6:8">
      <c r="F247" s="12"/>
      <c r="G247" s="12"/>
      <c r="H247" s="16"/>
    </row>
    <row r="248" spans="6:8">
      <c r="F248" s="12"/>
      <c r="G248" s="12"/>
      <c r="H248" s="16"/>
    </row>
    <row r="249" spans="6:8">
      <c r="F249" s="12"/>
      <c r="G249" s="12"/>
      <c r="H249" s="16"/>
    </row>
    <row r="250" spans="6:8">
      <c r="F250" s="12"/>
      <c r="G250" s="12"/>
      <c r="H250" s="16"/>
    </row>
    <row r="251" spans="6:8">
      <c r="F251" s="12"/>
      <c r="G251" s="12"/>
      <c r="H251" s="16"/>
    </row>
    <row r="252" spans="6:8">
      <c r="F252" s="12"/>
      <c r="G252" s="12"/>
      <c r="H252" s="16"/>
    </row>
    <row r="253" spans="6:8">
      <c r="F253" s="12"/>
      <c r="G253" s="12"/>
      <c r="H253" s="16"/>
    </row>
    <row r="254" spans="6:8">
      <c r="F254" s="12"/>
      <c r="G254" s="12"/>
      <c r="H254" s="16"/>
    </row>
    <row r="255" spans="6:8">
      <c r="F255" s="12"/>
      <c r="G255" s="12"/>
      <c r="H255" s="16"/>
    </row>
    <row r="256" spans="6:8">
      <c r="F256" s="12"/>
      <c r="G256" s="12"/>
      <c r="H256" s="16"/>
    </row>
    <row r="257" spans="6:8">
      <c r="F257" s="12"/>
      <c r="G257" s="12"/>
      <c r="H257" s="16"/>
    </row>
    <row r="258" spans="6:8">
      <c r="F258" s="12"/>
      <c r="G258" s="12"/>
      <c r="H258" s="16"/>
    </row>
    <row r="259" spans="6:8">
      <c r="F259" s="12"/>
      <c r="G259" s="12"/>
      <c r="H259" s="16"/>
    </row>
    <row r="260" spans="6:8">
      <c r="F260" s="12"/>
      <c r="G260" s="12"/>
      <c r="H260" s="16"/>
    </row>
    <row r="261" spans="6:8">
      <c r="F261" s="12"/>
      <c r="G261" s="12"/>
      <c r="H261" s="16"/>
    </row>
    <row r="262" spans="6:8">
      <c r="F262" s="12"/>
      <c r="G262" s="12"/>
      <c r="H262" s="16"/>
    </row>
    <row r="263" spans="6:8">
      <c r="F263" s="12"/>
      <c r="G263" s="12"/>
      <c r="H263" s="16"/>
    </row>
    <row r="264" spans="6:8">
      <c r="F264" s="12"/>
      <c r="G264" s="12"/>
      <c r="H264" s="16"/>
    </row>
    <row r="265" spans="6:8">
      <c r="F265" s="12"/>
      <c r="G265" s="12"/>
      <c r="H265" s="16"/>
    </row>
    <row r="266" spans="6:8">
      <c r="F266" s="12"/>
      <c r="G266" s="12"/>
      <c r="H266" s="16"/>
    </row>
    <row r="267" spans="6:8">
      <c r="F267" s="12"/>
      <c r="G267" s="12"/>
      <c r="H267" s="16"/>
    </row>
    <row r="268" spans="6:8">
      <c r="F268" s="12"/>
      <c r="G268" s="12"/>
      <c r="H268" s="16"/>
    </row>
    <row r="269" spans="6:8">
      <c r="F269" s="12"/>
      <c r="G269" s="12"/>
      <c r="H269" s="16"/>
    </row>
    <row r="270" spans="6:8">
      <c r="F270" s="12"/>
      <c r="G270" s="12"/>
      <c r="H270" s="16"/>
    </row>
    <row r="271" spans="6:8">
      <c r="F271" s="12"/>
      <c r="G271" s="12"/>
      <c r="H271" s="16"/>
    </row>
    <row r="272" spans="6:8">
      <c r="F272" s="12"/>
      <c r="G272" s="12"/>
      <c r="H272" s="16"/>
    </row>
    <row r="273" spans="6:8">
      <c r="F273" s="12"/>
      <c r="G273" s="12"/>
      <c r="H273" s="16"/>
    </row>
    <row r="274" spans="6:8">
      <c r="F274" s="12"/>
      <c r="G274" s="12"/>
      <c r="H274" s="16"/>
    </row>
    <row r="275" spans="6:8">
      <c r="F275" s="12"/>
      <c r="G275" s="12"/>
      <c r="H275" s="16"/>
    </row>
    <row r="276" spans="6:8">
      <c r="F276" s="12"/>
      <c r="G276" s="12"/>
      <c r="H276" s="16"/>
    </row>
    <row r="277" spans="6:8">
      <c r="F277" s="12"/>
      <c r="G277" s="12"/>
      <c r="H277" s="16"/>
    </row>
    <row r="278" spans="6:8">
      <c r="F278" s="12"/>
      <c r="G278" s="12"/>
      <c r="H278" s="16"/>
    </row>
    <row r="279" spans="6:8">
      <c r="F279" s="12"/>
      <c r="G279" s="12"/>
      <c r="H279" s="16"/>
    </row>
    <row r="280" spans="6:8">
      <c r="F280" s="12"/>
      <c r="G280" s="12"/>
      <c r="H280" s="16"/>
    </row>
    <row r="281" spans="6:8">
      <c r="F281" s="12"/>
      <c r="G281" s="12"/>
      <c r="H281" s="16"/>
    </row>
    <row r="282" spans="6:8">
      <c r="F282" s="12"/>
      <c r="G282" s="12"/>
      <c r="H282" s="16"/>
    </row>
    <row r="283" spans="6:8">
      <c r="F283" s="12"/>
      <c r="G283" s="12"/>
      <c r="H283" s="16"/>
    </row>
    <row r="284" spans="6:8">
      <c r="F284" s="12"/>
      <c r="G284" s="12"/>
      <c r="H284" s="16"/>
    </row>
    <row r="285" spans="6:8">
      <c r="F285" s="12"/>
      <c r="G285" s="12"/>
      <c r="H285" s="16"/>
    </row>
    <row r="286" spans="6:8">
      <c r="F286" s="12"/>
      <c r="G286" s="12"/>
      <c r="H286" s="16"/>
    </row>
    <row r="287" spans="6:8">
      <c r="F287" s="12"/>
      <c r="G287" s="12"/>
      <c r="H287" s="16"/>
    </row>
    <row r="288" spans="6:8">
      <c r="F288" s="12"/>
      <c r="G288" s="12"/>
      <c r="H288" s="16"/>
    </row>
    <row r="289" spans="6:8">
      <c r="F289" s="12"/>
      <c r="G289" s="12"/>
      <c r="H289" s="16"/>
    </row>
    <row r="290" spans="6:8">
      <c r="F290" s="12"/>
      <c r="G290" s="12"/>
      <c r="H290" s="16"/>
    </row>
    <row r="291" spans="6:8">
      <c r="F291" s="12"/>
      <c r="G291" s="12"/>
      <c r="H291" s="16"/>
    </row>
    <row r="292" spans="6:8">
      <c r="F292" s="12"/>
      <c r="G292" s="12"/>
      <c r="H292" s="16"/>
    </row>
    <row r="293" spans="6:8">
      <c r="F293" s="12"/>
      <c r="G293" s="12"/>
      <c r="H293" s="16"/>
    </row>
    <row r="294" spans="6:8">
      <c r="F294" s="12"/>
      <c r="G294" s="12"/>
      <c r="H294" s="16"/>
    </row>
    <row r="295" spans="6:8">
      <c r="F295" s="12"/>
      <c r="G295" s="12"/>
      <c r="H295" s="16"/>
    </row>
    <row r="296" spans="6:8">
      <c r="F296" s="12"/>
      <c r="G296" s="12"/>
      <c r="H296" s="16"/>
    </row>
    <row r="297" spans="6:8">
      <c r="F297" s="12"/>
      <c r="G297" s="12"/>
      <c r="H297" s="16"/>
    </row>
    <row r="298" spans="6:8">
      <c r="F298" s="12"/>
      <c r="G298" s="12"/>
      <c r="H298" s="16"/>
    </row>
    <row r="299" spans="6:8">
      <c r="F299" s="12"/>
      <c r="G299" s="12"/>
      <c r="H299" s="16"/>
    </row>
    <row r="300" spans="6:8">
      <c r="F300" s="12"/>
      <c r="G300" s="12"/>
      <c r="H300" s="16"/>
    </row>
    <row r="301" spans="6:8">
      <c r="F301" s="12"/>
      <c r="G301" s="12"/>
      <c r="H301" s="16"/>
    </row>
    <row r="302" spans="6:8">
      <c r="F302" s="12"/>
      <c r="G302" s="12"/>
      <c r="H302" s="16"/>
    </row>
    <row r="303" spans="6:8">
      <c r="F303" s="12"/>
      <c r="G303" s="12"/>
      <c r="H303" s="16"/>
    </row>
    <row r="304" spans="6:8">
      <c r="F304" s="12"/>
      <c r="G304" s="12"/>
      <c r="H304" s="16"/>
    </row>
    <row r="305" spans="6:8">
      <c r="F305" s="12"/>
      <c r="G305" s="12"/>
      <c r="H305" s="16"/>
    </row>
    <row r="306" spans="6:8">
      <c r="F306" s="12"/>
      <c r="G306" s="12"/>
      <c r="H306" s="16"/>
    </row>
    <row r="307" spans="6:8">
      <c r="F307" s="12"/>
      <c r="G307" s="12"/>
      <c r="H307" s="16"/>
    </row>
    <row r="308" spans="6:8">
      <c r="F308" s="12"/>
      <c r="G308" s="12"/>
      <c r="H308" s="16"/>
    </row>
    <row r="309" spans="6:8">
      <c r="F309" s="12"/>
      <c r="G309" s="12"/>
      <c r="H309" s="16"/>
    </row>
    <row r="310" spans="6:8">
      <c r="F310" s="12"/>
      <c r="G310" s="12"/>
      <c r="H310" s="16"/>
    </row>
    <row r="311" spans="6:8">
      <c r="F311" s="12"/>
      <c r="G311" s="12"/>
      <c r="H311" s="16"/>
    </row>
    <row r="312" spans="6:8">
      <c r="F312" s="12"/>
      <c r="G312" s="12"/>
      <c r="H312" s="16"/>
    </row>
    <row r="313" spans="6:8">
      <c r="F313" s="12"/>
      <c r="G313" s="12"/>
      <c r="H313" s="16"/>
    </row>
    <row r="314" spans="6:8">
      <c r="F314" s="12"/>
      <c r="G314" s="12"/>
      <c r="H314" s="16"/>
    </row>
    <row r="315" spans="6:8">
      <c r="F315" s="12"/>
      <c r="G315" s="12"/>
      <c r="H315" s="16"/>
    </row>
    <row r="316" spans="6:8">
      <c r="F316" s="12"/>
      <c r="G316" s="12"/>
      <c r="H316" s="16"/>
    </row>
    <row r="317" spans="6:8">
      <c r="F317" s="12"/>
      <c r="G317" s="12"/>
      <c r="H317" s="16"/>
    </row>
    <row r="318" spans="6:8">
      <c r="F318" s="12"/>
      <c r="G318" s="12"/>
      <c r="H318" s="16"/>
    </row>
    <row r="319" spans="6:8">
      <c r="F319" s="12"/>
      <c r="G319" s="12"/>
      <c r="H319" s="16"/>
    </row>
    <row r="320" spans="6:8">
      <c r="F320" s="12"/>
      <c r="G320" s="12"/>
      <c r="H320" s="16"/>
    </row>
    <row r="321" spans="6:8">
      <c r="F321" s="12"/>
      <c r="G321" s="12"/>
      <c r="H321" s="16"/>
    </row>
    <row r="322" spans="6:8">
      <c r="F322" s="12"/>
      <c r="G322" s="12"/>
      <c r="H322" s="16"/>
    </row>
    <row r="323" spans="6:8">
      <c r="F323" s="12"/>
      <c r="G323" s="12"/>
      <c r="H323" s="16"/>
    </row>
    <row r="324" spans="6:8">
      <c r="F324" s="12"/>
      <c r="G324" s="12"/>
      <c r="H324" s="16"/>
    </row>
    <row r="325" spans="6:8">
      <c r="F325" s="12"/>
      <c r="G325" s="12"/>
      <c r="H325" s="16"/>
    </row>
    <row r="326" spans="6:8">
      <c r="F326" s="12"/>
      <c r="G326" s="12"/>
      <c r="H326" s="16"/>
    </row>
    <row r="327" spans="6:8">
      <c r="F327" s="12"/>
      <c r="G327" s="12"/>
      <c r="H327" s="16"/>
    </row>
    <row r="328" spans="6:8">
      <c r="F328" s="12"/>
      <c r="G328" s="12"/>
      <c r="H328" s="16"/>
    </row>
    <row r="329" spans="6:8">
      <c r="F329" s="12"/>
      <c r="G329" s="12"/>
      <c r="H329" s="16"/>
    </row>
    <row r="330" spans="6:8">
      <c r="F330" s="12"/>
      <c r="G330" s="12"/>
      <c r="H330" s="16"/>
    </row>
    <row r="331" spans="6:8">
      <c r="F331" s="12"/>
      <c r="G331" s="12"/>
      <c r="H331" s="16"/>
    </row>
    <row r="332" spans="6:8">
      <c r="F332" s="12"/>
      <c r="G332" s="12"/>
      <c r="H332" s="16"/>
    </row>
    <row r="333" spans="6:8">
      <c r="F333" s="12"/>
      <c r="G333" s="12"/>
      <c r="H333" s="16"/>
    </row>
    <row r="334" spans="6:8">
      <c r="F334" s="12"/>
      <c r="G334" s="12"/>
      <c r="H334" s="16"/>
    </row>
    <row r="335" spans="6:8">
      <c r="F335" s="12"/>
      <c r="G335" s="12"/>
      <c r="H335" s="16"/>
    </row>
    <row r="336" spans="6:8">
      <c r="F336" s="12"/>
      <c r="G336" s="12"/>
      <c r="H336" s="16"/>
    </row>
    <row r="337" spans="6:8">
      <c r="F337" s="12"/>
      <c r="G337" s="12"/>
      <c r="H337" s="16"/>
    </row>
    <row r="338" spans="6:8">
      <c r="F338" s="12"/>
      <c r="G338" s="12"/>
      <c r="H338" s="16"/>
    </row>
    <row r="339" spans="6:8">
      <c r="F339" s="12"/>
      <c r="G339" s="12"/>
      <c r="H339" s="16"/>
    </row>
    <row r="340" spans="6:8">
      <c r="F340" s="12"/>
      <c r="G340" s="12"/>
      <c r="H340" s="16"/>
    </row>
    <row r="341" spans="6:8">
      <c r="F341" s="12"/>
      <c r="G341" s="12"/>
      <c r="H341" s="16"/>
    </row>
    <row r="342" spans="6:8">
      <c r="F342" s="12"/>
      <c r="G342" s="12"/>
      <c r="H342" s="16"/>
    </row>
    <row r="343" spans="6:8">
      <c r="F343" s="12"/>
      <c r="G343" s="12"/>
      <c r="H343" s="16"/>
    </row>
    <row r="344" spans="6:8">
      <c r="F344" s="12"/>
      <c r="G344" s="12"/>
      <c r="H344" s="16"/>
    </row>
    <row r="345" spans="6:8">
      <c r="F345" s="12"/>
      <c r="G345" s="12"/>
      <c r="H345" s="16"/>
    </row>
    <row r="346" spans="6:8">
      <c r="F346" s="12"/>
      <c r="G346" s="12"/>
      <c r="H346" s="16"/>
    </row>
    <row r="347" spans="6:8">
      <c r="F347" s="12"/>
      <c r="G347" s="12"/>
      <c r="H347" s="16"/>
    </row>
    <row r="348" spans="6:8">
      <c r="F348" s="12"/>
      <c r="G348" s="12"/>
      <c r="H348" s="16"/>
    </row>
    <row r="349" spans="6:8">
      <c r="F349" s="12"/>
      <c r="G349" s="12"/>
      <c r="H349" s="16"/>
    </row>
    <row r="350" spans="6:8">
      <c r="F350" s="12"/>
      <c r="G350" s="12"/>
      <c r="H350" s="16"/>
    </row>
    <row r="351" spans="6:8">
      <c r="F351" s="12"/>
      <c r="G351" s="12"/>
      <c r="H351" s="16"/>
    </row>
    <row r="352" spans="6:8">
      <c r="F352" s="12"/>
      <c r="G352" s="12"/>
      <c r="H352" s="16"/>
    </row>
    <row r="353" spans="6:8">
      <c r="F353" s="12"/>
      <c r="G353" s="12"/>
      <c r="H353" s="16"/>
    </row>
    <row r="354" spans="6:8">
      <c r="F354" s="12"/>
      <c r="G354" s="12"/>
      <c r="H354" s="16"/>
    </row>
    <row r="355" spans="6:8">
      <c r="F355" s="12"/>
      <c r="G355" s="12"/>
      <c r="H355" s="16"/>
    </row>
    <row r="356" spans="6:8">
      <c r="F356" s="12"/>
      <c r="G356" s="12"/>
      <c r="H356" s="16"/>
    </row>
    <row r="357" spans="6:8">
      <c r="F357" s="12"/>
      <c r="G357" s="12"/>
      <c r="H357" s="16"/>
    </row>
    <row r="358" spans="6:8">
      <c r="F358" s="12"/>
      <c r="G358" s="12"/>
      <c r="H358" s="16"/>
    </row>
    <row r="359" spans="6:8">
      <c r="F359" s="12"/>
      <c r="G359" s="12"/>
      <c r="H359" s="16"/>
    </row>
    <row r="360" spans="6:8">
      <c r="F360" s="12"/>
      <c r="G360" s="12"/>
      <c r="H360" s="16"/>
    </row>
    <row r="361" spans="6:8">
      <c r="F361" s="12"/>
      <c r="G361" s="12"/>
      <c r="H361" s="16"/>
    </row>
    <row r="362" spans="6:8">
      <c r="F362" s="12"/>
      <c r="G362" s="12"/>
      <c r="H362" s="16"/>
    </row>
    <row r="363" spans="6:8">
      <c r="F363" s="12"/>
      <c r="G363" s="12"/>
      <c r="H363" s="16"/>
    </row>
    <row r="364" spans="6:8">
      <c r="F364" s="12"/>
      <c r="G364" s="12"/>
      <c r="H364" s="16"/>
    </row>
    <row r="365" spans="6:8">
      <c r="F365" s="12"/>
      <c r="G365" s="12"/>
      <c r="H365" s="16"/>
    </row>
    <row r="366" spans="6:8">
      <c r="F366" s="12"/>
      <c r="G366" s="12"/>
      <c r="H366" s="16"/>
    </row>
    <row r="367" spans="6:8">
      <c r="F367" s="12"/>
      <c r="G367" s="12"/>
      <c r="H367" s="16"/>
    </row>
    <row r="368" spans="6:8">
      <c r="F368" s="12"/>
      <c r="G368" s="12"/>
      <c r="H368" s="16"/>
    </row>
    <row r="369" spans="6:8">
      <c r="F369" s="12"/>
      <c r="G369" s="12"/>
      <c r="H369" s="16"/>
    </row>
    <row r="370" spans="6:8">
      <c r="F370" s="12"/>
      <c r="G370" s="12"/>
      <c r="H370" s="16"/>
    </row>
    <row r="371" spans="6:8">
      <c r="F371" s="12"/>
      <c r="G371" s="12"/>
      <c r="H371" s="16"/>
    </row>
    <row r="372" spans="6:8">
      <c r="F372" s="12"/>
      <c r="G372" s="12"/>
      <c r="H372" s="16"/>
    </row>
    <row r="373" spans="6:8">
      <c r="F373" s="12"/>
      <c r="G373" s="12"/>
      <c r="H373" s="16"/>
    </row>
    <row r="374" spans="6:8">
      <c r="F374" s="12"/>
      <c r="G374" s="12"/>
      <c r="H374" s="16"/>
    </row>
    <row r="375" spans="6:8">
      <c r="F375" s="12"/>
      <c r="G375" s="12"/>
      <c r="H375" s="16"/>
    </row>
    <row r="376" spans="6:8">
      <c r="F376" s="12"/>
      <c r="G376" s="12"/>
      <c r="H376" s="16"/>
    </row>
    <row r="377" spans="6:8">
      <c r="F377" s="12"/>
      <c r="G377" s="12"/>
      <c r="H377" s="16"/>
    </row>
    <row r="378" spans="6:8">
      <c r="F378" s="12"/>
      <c r="G378" s="12"/>
      <c r="H378" s="16"/>
    </row>
    <row r="379" spans="6:8">
      <c r="F379" s="12"/>
      <c r="G379" s="12"/>
      <c r="H379" s="16"/>
    </row>
    <row r="380" spans="6:8">
      <c r="F380" s="12"/>
      <c r="G380" s="12"/>
      <c r="H380" s="16"/>
    </row>
    <row r="381" spans="6:8">
      <c r="F381" s="12"/>
      <c r="G381" s="12"/>
      <c r="H381" s="16"/>
    </row>
    <row r="382" spans="6:8">
      <c r="F382" s="12"/>
      <c r="G382" s="12"/>
      <c r="H382" s="16"/>
    </row>
    <row r="383" spans="6:8">
      <c r="F383" s="12"/>
      <c r="G383" s="12"/>
      <c r="H383" s="16"/>
    </row>
    <row r="384" spans="6:8">
      <c r="F384" s="12"/>
      <c r="G384" s="12"/>
      <c r="H384" s="16"/>
    </row>
    <row r="385" spans="6:8">
      <c r="F385" s="12"/>
      <c r="G385" s="12"/>
      <c r="H385" s="16"/>
    </row>
    <row r="386" spans="6:8">
      <c r="F386" s="12"/>
      <c r="G386" s="12"/>
      <c r="H386" s="16"/>
    </row>
    <row r="387" spans="6:8">
      <c r="F387" s="12"/>
      <c r="G387" s="12"/>
      <c r="H387" s="16"/>
    </row>
    <row r="388" spans="6:8">
      <c r="F388" s="12"/>
      <c r="G388" s="12"/>
      <c r="H388" s="16"/>
    </row>
    <row r="389" spans="6:8">
      <c r="F389" s="12"/>
      <c r="G389" s="12"/>
      <c r="H389" s="16"/>
    </row>
    <row r="390" spans="6:8">
      <c r="F390" s="12"/>
      <c r="G390" s="12"/>
      <c r="H390" s="16"/>
    </row>
    <row r="391" spans="6:8">
      <c r="F391" s="12"/>
      <c r="G391" s="12"/>
      <c r="H391" s="16"/>
    </row>
    <row r="392" spans="6:8">
      <c r="F392" s="12"/>
      <c r="G392" s="12"/>
      <c r="H392" s="16"/>
    </row>
    <row r="393" spans="6:8">
      <c r="F393" s="12"/>
      <c r="G393" s="12"/>
      <c r="H393" s="16"/>
    </row>
    <row r="394" spans="6:8">
      <c r="F394" s="12"/>
      <c r="G394" s="12"/>
      <c r="H394" s="16"/>
    </row>
    <row r="395" spans="6:8">
      <c r="F395" s="12"/>
      <c r="G395" s="12"/>
      <c r="H395" s="16"/>
    </row>
    <row r="396" spans="6:8">
      <c r="F396" s="12"/>
      <c r="G396" s="12"/>
      <c r="H396" s="16"/>
    </row>
    <row r="397" spans="6:8">
      <c r="F397" s="12"/>
      <c r="G397" s="12"/>
      <c r="H397" s="16"/>
    </row>
    <row r="398" spans="6:8">
      <c r="F398" s="12"/>
      <c r="G398" s="12"/>
      <c r="H398" s="16"/>
    </row>
    <row r="399" spans="6:8">
      <c r="F399" s="12"/>
      <c r="G399" s="12"/>
      <c r="H399" s="16"/>
    </row>
    <row r="400" spans="6:8">
      <c r="F400" s="12"/>
      <c r="G400" s="12"/>
      <c r="H400" s="16"/>
    </row>
    <row r="401" spans="6:8">
      <c r="F401" s="12"/>
      <c r="G401" s="12"/>
      <c r="H401" s="16"/>
    </row>
    <row r="402" spans="6:8">
      <c r="F402" s="12"/>
      <c r="G402" s="12"/>
      <c r="H402" s="16"/>
    </row>
    <row r="403" spans="6:8">
      <c r="F403" s="12"/>
      <c r="G403" s="12"/>
      <c r="H403" s="16"/>
    </row>
    <row r="404" spans="6:8">
      <c r="F404" s="12"/>
      <c r="G404" s="12"/>
      <c r="H404" s="16"/>
    </row>
    <row r="405" spans="6:8">
      <c r="F405" s="12"/>
      <c r="G405" s="12"/>
      <c r="H405" s="16"/>
    </row>
    <row r="406" spans="6:8">
      <c r="F406" s="12"/>
      <c r="G406" s="12"/>
      <c r="H406" s="16"/>
    </row>
    <row r="407" spans="6:8">
      <c r="F407" s="12"/>
      <c r="G407" s="12"/>
      <c r="H407" s="16"/>
    </row>
    <row r="408" spans="6:8">
      <c r="F408" s="12"/>
      <c r="G408" s="12"/>
      <c r="H408" s="16"/>
    </row>
    <row r="409" spans="6:8">
      <c r="F409" s="12"/>
      <c r="G409" s="12"/>
      <c r="H409" s="16"/>
    </row>
    <row r="410" spans="6:8">
      <c r="F410" s="12"/>
      <c r="G410" s="12"/>
      <c r="H410" s="16"/>
    </row>
    <row r="411" spans="6:8">
      <c r="F411" s="12"/>
      <c r="G411" s="12"/>
      <c r="H411" s="16"/>
    </row>
    <row r="412" spans="6:8">
      <c r="F412" s="12"/>
      <c r="G412" s="12"/>
      <c r="H412" s="16"/>
    </row>
    <row r="413" spans="6:8">
      <c r="F413" s="12"/>
      <c r="G413" s="12"/>
      <c r="H413" s="16"/>
    </row>
    <row r="414" spans="6:8">
      <c r="F414" s="12"/>
      <c r="G414" s="12"/>
      <c r="H414" s="16"/>
    </row>
    <row r="415" spans="6:8">
      <c r="F415" s="12"/>
      <c r="G415" s="12"/>
      <c r="H415" s="16"/>
    </row>
    <row r="416" spans="6:8">
      <c r="F416" s="12"/>
      <c r="G416" s="12"/>
      <c r="H416" s="16"/>
    </row>
    <row r="417" spans="6:8">
      <c r="F417" s="12"/>
      <c r="G417" s="12"/>
      <c r="H417" s="16"/>
    </row>
    <row r="418" spans="6:8">
      <c r="F418" s="12"/>
      <c r="G418" s="12"/>
      <c r="H418" s="16"/>
    </row>
    <row r="419" spans="6:8">
      <c r="F419" s="12"/>
      <c r="G419" s="12"/>
      <c r="H419" s="16"/>
    </row>
    <row r="420" spans="6:8">
      <c r="F420" s="12"/>
      <c r="G420" s="12"/>
      <c r="H420" s="16"/>
    </row>
    <row r="421" spans="6:8">
      <c r="F421" s="12"/>
      <c r="G421" s="12"/>
      <c r="H421" s="16"/>
    </row>
    <row r="422" spans="6:8">
      <c r="F422" s="12"/>
      <c r="G422" s="12"/>
      <c r="H422" s="16"/>
    </row>
    <row r="423" spans="6:8">
      <c r="F423" s="12"/>
      <c r="G423" s="12"/>
      <c r="H423" s="16"/>
    </row>
    <row r="424" spans="6:8">
      <c r="F424" s="12"/>
      <c r="G424" s="12"/>
      <c r="H424" s="16"/>
    </row>
    <row r="425" spans="6:8">
      <c r="F425" s="12"/>
      <c r="G425" s="12"/>
      <c r="H425" s="16"/>
    </row>
    <row r="426" spans="6:8">
      <c r="F426" s="12"/>
      <c r="G426" s="12"/>
      <c r="H426" s="16"/>
    </row>
    <row r="427" spans="6:8">
      <c r="F427" s="12"/>
      <c r="G427" s="12"/>
      <c r="H427" s="16"/>
    </row>
    <row r="428" spans="6:8">
      <c r="F428" s="12"/>
      <c r="G428" s="12"/>
      <c r="H428" s="16"/>
    </row>
    <row r="429" spans="6:8">
      <c r="F429" s="12"/>
      <c r="G429" s="12"/>
      <c r="H429" s="16"/>
    </row>
    <row r="430" spans="6:8">
      <c r="F430" s="12"/>
      <c r="G430" s="12"/>
      <c r="H430" s="16"/>
    </row>
    <row r="431" spans="6:8">
      <c r="F431" s="12"/>
      <c r="G431" s="12"/>
      <c r="H431" s="16"/>
    </row>
    <row r="432" spans="6:8">
      <c r="F432" s="12"/>
      <c r="G432" s="12"/>
      <c r="H432" s="16"/>
    </row>
    <row r="433" spans="6:8">
      <c r="F433" s="12"/>
      <c r="G433" s="12"/>
      <c r="H433" s="16"/>
    </row>
    <row r="434" spans="6:8">
      <c r="F434" s="12"/>
      <c r="G434" s="12"/>
      <c r="H434" s="16"/>
    </row>
    <row r="435" spans="6:8">
      <c r="F435" s="12"/>
      <c r="G435" s="12"/>
      <c r="H435" s="16"/>
    </row>
    <row r="436" spans="6:8">
      <c r="F436" s="12"/>
      <c r="G436" s="12"/>
      <c r="H436" s="16"/>
    </row>
    <row r="437" spans="6:8">
      <c r="F437" s="12"/>
      <c r="G437" s="12"/>
      <c r="H437" s="16"/>
    </row>
    <row r="438" spans="6:8">
      <c r="F438" s="12"/>
      <c r="G438" s="12"/>
      <c r="H438" s="16"/>
    </row>
    <row r="439" spans="6:8">
      <c r="F439" s="12"/>
      <c r="G439" s="12"/>
      <c r="H439" s="16"/>
    </row>
    <row r="440" spans="6:8">
      <c r="F440" s="12"/>
      <c r="G440" s="12"/>
      <c r="H440" s="16"/>
    </row>
    <row r="441" spans="6:8">
      <c r="F441" s="12"/>
      <c r="G441" s="12"/>
      <c r="H441" s="16"/>
    </row>
    <row r="442" spans="6:8">
      <c r="F442" s="12"/>
      <c r="G442" s="12"/>
      <c r="H442" s="16"/>
    </row>
    <row r="443" spans="6:8">
      <c r="F443" s="12"/>
      <c r="G443" s="12"/>
      <c r="H443" s="16"/>
    </row>
    <row r="444" spans="6:8">
      <c r="F444" s="12"/>
      <c r="G444" s="12"/>
      <c r="H444" s="16"/>
    </row>
    <row r="445" spans="6:8">
      <c r="F445" s="12"/>
      <c r="G445" s="12"/>
      <c r="H445" s="16"/>
    </row>
    <row r="446" spans="6:8">
      <c r="F446" s="12"/>
      <c r="G446" s="12"/>
      <c r="H446" s="16"/>
    </row>
    <row r="447" spans="6:8">
      <c r="F447" s="12"/>
      <c r="G447" s="12"/>
      <c r="H447" s="16"/>
    </row>
    <row r="448" spans="6:8">
      <c r="F448" s="12"/>
      <c r="G448" s="12"/>
      <c r="H448" s="16"/>
    </row>
    <row r="449" spans="6:8">
      <c r="F449" s="12"/>
      <c r="G449" s="12"/>
      <c r="H449" s="16"/>
    </row>
    <row r="450" spans="6:8">
      <c r="F450" s="12"/>
      <c r="G450" s="12"/>
      <c r="H450" s="16"/>
    </row>
    <row r="451" spans="6:8">
      <c r="F451" s="12"/>
      <c r="G451" s="12"/>
      <c r="H451" s="16"/>
    </row>
    <row r="452" spans="6:8">
      <c r="F452" s="12"/>
      <c r="G452" s="12"/>
      <c r="H452" s="16"/>
    </row>
    <row r="453" spans="6:8">
      <c r="F453" s="12"/>
      <c r="G453" s="12"/>
      <c r="H453" s="16"/>
    </row>
    <row r="454" spans="6:8">
      <c r="F454" s="12"/>
      <c r="G454" s="12"/>
      <c r="H454" s="16"/>
    </row>
    <row r="455" spans="6:8">
      <c r="F455" s="12"/>
      <c r="G455" s="12"/>
      <c r="H455" s="16"/>
    </row>
    <row r="456" spans="6:8">
      <c r="F456" s="12"/>
      <c r="G456" s="12"/>
      <c r="H456" s="16"/>
    </row>
    <row r="457" spans="6:8">
      <c r="F457" s="12"/>
      <c r="G457" s="12"/>
      <c r="H457" s="16"/>
    </row>
    <row r="458" spans="6:8">
      <c r="F458" s="12"/>
      <c r="G458" s="12"/>
      <c r="H458" s="16"/>
    </row>
    <row r="459" spans="6:8">
      <c r="F459" s="12"/>
      <c r="G459" s="12"/>
      <c r="H459" s="16"/>
    </row>
    <row r="460" spans="6:8">
      <c r="F460" s="12"/>
      <c r="G460" s="12"/>
      <c r="H460" s="16"/>
    </row>
    <row r="461" spans="6:8">
      <c r="F461" s="12"/>
      <c r="G461" s="12"/>
      <c r="H461" s="16"/>
    </row>
    <row r="462" spans="6:8">
      <c r="F462" s="12"/>
      <c r="G462" s="12"/>
      <c r="H462" s="16"/>
    </row>
    <row r="463" spans="6:8">
      <c r="F463" s="12"/>
      <c r="G463" s="12"/>
      <c r="H463" s="16"/>
    </row>
    <row r="464" spans="6:8">
      <c r="F464" s="12"/>
      <c r="G464" s="12"/>
      <c r="H464" s="16"/>
    </row>
    <row r="465" spans="6:8">
      <c r="F465" s="12"/>
      <c r="G465" s="12"/>
      <c r="H465" s="16"/>
    </row>
    <row r="466" spans="6:8">
      <c r="F466" s="12"/>
      <c r="G466" s="12"/>
      <c r="H466" s="16"/>
    </row>
    <row r="467" spans="6:8">
      <c r="F467" s="12"/>
      <c r="G467" s="12"/>
      <c r="H467" s="16"/>
    </row>
    <row r="468" spans="6:8">
      <c r="F468" s="12"/>
      <c r="G468" s="12"/>
      <c r="H468" s="16"/>
    </row>
    <row r="469" spans="6:8">
      <c r="F469" s="12"/>
      <c r="G469" s="12"/>
      <c r="H469" s="16"/>
    </row>
    <row r="470" spans="6:8">
      <c r="F470" s="12"/>
      <c r="G470" s="12"/>
      <c r="H470" s="16"/>
    </row>
    <row r="471" spans="6:8">
      <c r="F471" s="12"/>
      <c r="G471" s="12"/>
      <c r="H471" s="16"/>
    </row>
    <row r="472" spans="6:8">
      <c r="F472" s="12"/>
      <c r="G472" s="12"/>
      <c r="H472" s="16"/>
    </row>
    <row r="473" spans="6:8">
      <c r="F473" s="12"/>
      <c r="G473" s="12"/>
      <c r="H473" s="16"/>
    </row>
    <row r="474" spans="6:8">
      <c r="F474" s="12"/>
      <c r="G474" s="12"/>
      <c r="H474" s="16"/>
    </row>
    <row r="475" spans="6:8">
      <c r="F475" s="12"/>
      <c r="G475" s="12"/>
      <c r="H475" s="16"/>
    </row>
    <row r="476" spans="6:8">
      <c r="F476" s="12"/>
      <c r="G476" s="12"/>
      <c r="H476" s="16"/>
    </row>
    <row r="477" spans="6:8">
      <c r="F477" s="12"/>
      <c r="G477" s="12"/>
      <c r="H477" s="16"/>
    </row>
    <row r="478" spans="6:8">
      <c r="F478" s="12"/>
      <c r="G478" s="12"/>
      <c r="H478" s="16"/>
    </row>
    <row r="479" spans="6:8">
      <c r="F479" s="12"/>
      <c r="G479" s="12"/>
      <c r="H479" s="16"/>
    </row>
    <row r="480" spans="6:8">
      <c r="F480" s="12"/>
      <c r="G480" s="12"/>
      <c r="H480" s="16"/>
    </row>
    <row r="481" spans="6:8">
      <c r="F481" s="12"/>
      <c r="G481" s="12"/>
      <c r="H481" s="16"/>
    </row>
    <row r="482" spans="6:8">
      <c r="F482" s="12"/>
      <c r="G482" s="12"/>
      <c r="H482" s="16"/>
    </row>
    <row r="483" spans="6:8">
      <c r="F483" s="12"/>
      <c r="G483" s="12"/>
      <c r="H483" s="16"/>
    </row>
    <row r="484" spans="6:8">
      <c r="F484" s="12"/>
      <c r="G484" s="12"/>
      <c r="H484" s="16"/>
    </row>
    <row r="485" spans="6:8">
      <c r="F485" s="12"/>
      <c r="G485" s="12"/>
      <c r="H485" s="16"/>
    </row>
    <row r="486" spans="6:8">
      <c r="F486" s="12"/>
      <c r="G486" s="12"/>
      <c r="H486" s="16"/>
    </row>
    <row r="487" spans="6:8">
      <c r="F487" s="12"/>
      <c r="G487" s="12"/>
      <c r="H487" s="16"/>
    </row>
    <row r="488" spans="6:8">
      <c r="F488" s="12"/>
      <c r="G488" s="12"/>
      <c r="H488" s="16"/>
    </row>
    <row r="489" spans="6:8">
      <c r="F489" s="12"/>
      <c r="G489" s="12"/>
      <c r="H489" s="16"/>
    </row>
    <row r="490" spans="6:8">
      <c r="F490" s="12"/>
      <c r="G490" s="12"/>
      <c r="H490" s="16"/>
    </row>
    <row r="491" spans="6:8">
      <c r="F491" s="12"/>
      <c r="G491" s="12"/>
      <c r="H491" s="16"/>
    </row>
    <row r="492" spans="6:8">
      <c r="F492" s="12"/>
      <c r="G492" s="12"/>
      <c r="H492" s="16"/>
    </row>
    <row r="493" spans="6:8">
      <c r="F493" s="12"/>
      <c r="G493" s="12"/>
      <c r="H493" s="16"/>
    </row>
    <row r="494" spans="6:8">
      <c r="F494" s="12"/>
      <c r="G494" s="12"/>
      <c r="H494" s="16"/>
    </row>
    <row r="495" spans="6:8">
      <c r="F495" s="12"/>
      <c r="G495" s="12"/>
      <c r="H495" s="16"/>
    </row>
    <row r="496" spans="6:8">
      <c r="F496" s="12"/>
      <c r="G496" s="12"/>
      <c r="H496" s="16"/>
    </row>
    <row r="497" spans="6:8">
      <c r="F497" s="12"/>
      <c r="G497" s="12"/>
      <c r="H497" s="16"/>
    </row>
    <row r="498" spans="6:8">
      <c r="F498" s="12"/>
      <c r="G498" s="12"/>
      <c r="H498" s="16"/>
    </row>
    <row r="499" spans="6:8">
      <c r="F499" s="12"/>
      <c r="G499" s="12"/>
      <c r="H499" s="16"/>
    </row>
    <row r="500" spans="6:8">
      <c r="F500" s="12"/>
      <c r="G500" s="12"/>
      <c r="H500" s="16"/>
    </row>
    <row r="501" spans="6:8">
      <c r="F501" s="12"/>
      <c r="G501" s="12"/>
      <c r="H501" s="16"/>
    </row>
    <row r="502" spans="6:8">
      <c r="F502" s="12"/>
      <c r="G502" s="12"/>
      <c r="H502" s="16"/>
    </row>
    <row r="503" spans="6:8">
      <c r="F503" s="12"/>
      <c r="G503" s="12"/>
      <c r="H503" s="16"/>
    </row>
    <row r="504" spans="6:8">
      <c r="F504" s="12"/>
      <c r="G504" s="12"/>
      <c r="H504" s="16"/>
    </row>
    <row r="505" spans="6:8">
      <c r="F505" s="12"/>
      <c r="G505" s="12"/>
      <c r="H505" s="16"/>
    </row>
    <row r="506" spans="6:8">
      <c r="F506" s="12"/>
      <c r="G506" s="12"/>
      <c r="H506" s="16"/>
    </row>
    <row r="507" spans="6:8">
      <c r="F507" s="12"/>
      <c r="G507" s="12"/>
      <c r="H507" s="16"/>
    </row>
    <row r="508" spans="6:8">
      <c r="F508" s="12"/>
      <c r="G508" s="12"/>
      <c r="H508" s="16"/>
    </row>
    <row r="509" spans="6:8">
      <c r="F509" s="12"/>
      <c r="G509" s="12"/>
      <c r="H509" s="16"/>
    </row>
    <row r="510" spans="6:8">
      <c r="F510" s="12"/>
      <c r="G510" s="12"/>
      <c r="H510" s="16"/>
    </row>
    <row r="511" spans="6:8">
      <c r="F511" s="12"/>
      <c r="G511" s="12"/>
      <c r="H511" s="16"/>
    </row>
    <row r="512" spans="6:8">
      <c r="F512" s="12"/>
      <c r="G512" s="12"/>
      <c r="H512" s="16"/>
    </row>
    <row r="513" spans="6:8">
      <c r="F513" s="12"/>
      <c r="G513" s="12"/>
      <c r="H513" s="16"/>
    </row>
    <row r="514" spans="6:8">
      <c r="F514" s="12"/>
      <c r="G514" s="12"/>
      <c r="H514" s="16"/>
    </row>
    <row r="515" spans="6:8">
      <c r="F515" s="12"/>
      <c r="G515" s="12"/>
      <c r="H515" s="16"/>
    </row>
    <row r="516" spans="6:8">
      <c r="F516" s="12"/>
      <c r="G516" s="12"/>
      <c r="H516" s="16"/>
    </row>
    <row r="517" spans="6:8">
      <c r="F517" s="12"/>
      <c r="G517" s="12"/>
      <c r="H517" s="16"/>
    </row>
    <row r="518" spans="6:8">
      <c r="F518" s="12"/>
      <c r="G518" s="12"/>
      <c r="H518" s="16"/>
    </row>
    <row r="519" spans="6:8">
      <c r="F519" s="12"/>
      <c r="G519" s="12"/>
      <c r="H519" s="16"/>
    </row>
    <row r="520" spans="6:8">
      <c r="F520" s="12"/>
      <c r="G520" s="12"/>
      <c r="H520" s="16"/>
    </row>
    <row r="521" spans="6:8">
      <c r="F521" s="12"/>
      <c r="G521" s="12"/>
      <c r="H521" s="16"/>
    </row>
    <row r="522" spans="6:8">
      <c r="F522" s="12"/>
      <c r="G522" s="12"/>
      <c r="H522" s="16"/>
    </row>
    <row r="523" spans="6:8">
      <c r="F523" s="12"/>
      <c r="G523" s="12"/>
      <c r="H523" s="16"/>
    </row>
    <row r="524" spans="6:8">
      <c r="F524" s="12"/>
      <c r="G524" s="12"/>
      <c r="H524" s="16"/>
    </row>
    <row r="525" spans="6:8">
      <c r="F525" s="12"/>
      <c r="G525" s="12"/>
      <c r="H525" s="16"/>
    </row>
    <row r="526" spans="6:8">
      <c r="F526" s="12"/>
      <c r="G526" s="12"/>
      <c r="H526" s="16"/>
    </row>
    <row r="527" spans="6:8">
      <c r="F527" s="12"/>
      <c r="G527" s="12"/>
      <c r="H527" s="16"/>
    </row>
    <row r="528" spans="6:8">
      <c r="F528" s="12"/>
      <c r="G528" s="12"/>
      <c r="H528" s="16"/>
    </row>
    <row r="529" spans="6:8">
      <c r="F529" s="12"/>
      <c r="G529" s="12"/>
      <c r="H529" s="16"/>
    </row>
    <row r="530" spans="6:8">
      <c r="F530" s="12"/>
      <c r="G530" s="12"/>
      <c r="H530" s="16"/>
    </row>
    <row r="531" spans="6:8">
      <c r="F531" s="12"/>
      <c r="G531" s="12"/>
      <c r="H531" s="16"/>
    </row>
    <row r="532" spans="6:8">
      <c r="F532" s="12"/>
      <c r="G532" s="12"/>
      <c r="H532" s="16"/>
    </row>
    <row r="533" spans="6:8">
      <c r="F533" s="12"/>
      <c r="G533" s="12"/>
      <c r="H533" s="16"/>
    </row>
    <row r="534" spans="6:8">
      <c r="F534" s="12"/>
      <c r="G534" s="12"/>
      <c r="H534" s="16"/>
    </row>
    <row r="535" spans="6:8">
      <c r="F535" s="12"/>
      <c r="G535" s="12"/>
      <c r="H535" s="16"/>
    </row>
    <row r="536" spans="6:8">
      <c r="F536" s="12"/>
      <c r="G536" s="12"/>
      <c r="H536" s="16"/>
    </row>
    <row r="537" spans="6:8">
      <c r="F537" s="12"/>
      <c r="G537" s="12"/>
      <c r="H537" s="16"/>
    </row>
    <row r="538" spans="6:8">
      <c r="F538" s="12"/>
      <c r="G538" s="12"/>
      <c r="H538" s="16"/>
    </row>
    <row r="539" spans="6:8">
      <c r="F539" s="12"/>
      <c r="G539" s="12"/>
      <c r="H539" s="16"/>
    </row>
    <row r="540" spans="6:8">
      <c r="F540" s="12"/>
      <c r="G540" s="12"/>
      <c r="H540" s="16"/>
    </row>
    <row r="541" spans="6:8">
      <c r="F541" s="12"/>
      <c r="G541" s="12"/>
      <c r="H541" s="16"/>
    </row>
    <row r="542" spans="6:8">
      <c r="F542" s="12"/>
      <c r="G542" s="12"/>
      <c r="H542" s="16"/>
    </row>
    <row r="543" spans="6:8">
      <c r="F543" s="12"/>
      <c r="G543" s="12"/>
      <c r="H543" s="16"/>
    </row>
    <row r="544" spans="6:8">
      <c r="F544" s="12"/>
      <c r="G544" s="12"/>
      <c r="H544" s="16"/>
    </row>
    <row r="545" spans="6:8">
      <c r="F545" s="12"/>
      <c r="G545" s="12"/>
      <c r="H545" s="16"/>
    </row>
    <row r="546" spans="6:8">
      <c r="F546" s="12"/>
      <c r="G546" s="12"/>
      <c r="H546" s="16"/>
    </row>
    <row r="547" spans="6:8">
      <c r="F547" s="12"/>
      <c r="G547" s="12"/>
      <c r="H547" s="16"/>
    </row>
    <row r="548" spans="6:8">
      <c r="F548" s="12"/>
      <c r="G548" s="12"/>
      <c r="H548" s="16"/>
    </row>
    <row r="549" spans="6:8">
      <c r="F549" s="12"/>
      <c r="G549" s="12"/>
      <c r="H549" s="16"/>
    </row>
    <row r="550" spans="6:8">
      <c r="F550" s="12"/>
      <c r="G550" s="12"/>
      <c r="H550" s="16"/>
    </row>
    <row r="551" spans="6:8">
      <c r="F551" s="12"/>
      <c r="G551" s="12"/>
      <c r="H551" s="16"/>
    </row>
    <row r="552" spans="6:8">
      <c r="F552" s="12"/>
      <c r="G552" s="12"/>
      <c r="H552" s="16"/>
    </row>
    <row r="553" spans="6:8">
      <c r="F553" s="12"/>
      <c r="G553" s="12"/>
      <c r="H553" s="16"/>
    </row>
    <row r="554" spans="6:8">
      <c r="F554" s="12"/>
      <c r="G554" s="12"/>
      <c r="H554" s="16"/>
    </row>
    <row r="555" spans="6:8">
      <c r="F555" s="12"/>
      <c r="G555" s="12"/>
      <c r="H555" s="16"/>
    </row>
    <row r="556" spans="6:8">
      <c r="F556" s="12"/>
      <c r="G556" s="12"/>
      <c r="H556" s="16"/>
    </row>
    <row r="557" spans="6:8">
      <c r="F557" s="12"/>
      <c r="G557" s="12"/>
      <c r="H557" s="16"/>
    </row>
    <row r="558" spans="6:8">
      <c r="F558" s="12"/>
      <c r="G558" s="12"/>
      <c r="H558" s="16"/>
    </row>
    <row r="559" spans="6:8">
      <c r="F559" s="12"/>
      <c r="G559" s="12"/>
      <c r="H559" s="16"/>
    </row>
    <row r="560" spans="6:8">
      <c r="F560" s="12"/>
      <c r="G560" s="12"/>
      <c r="H560" s="16"/>
    </row>
    <row r="561" spans="6:8">
      <c r="F561" s="12"/>
      <c r="G561" s="12"/>
      <c r="H561" s="16"/>
    </row>
    <row r="562" spans="6:8">
      <c r="F562" s="12"/>
      <c r="G562" s="12"/>
      <c r="H562" s="16"/>
    </row>
    <row r="563" spans="6:8">
      <c r="F563" s="12"/>
      <c r="G563" s="12"/>
      <c r="H563" s="16"/>
    </row>
    <row r="564" spans="6:8">
      <c r="F564" s="12"/>
      <c r="G564" s="12"/>
      <c r="H564" s="16"/>
    </row>
    <row r="565" spans="6:8">
      <c r="F565" s="12"/>
      <c r="G565" s="12"/>
      <c r="H565" s="16"/>
    </row>
    <row r="566" spans="6:8">
      <c r="F566" s="12"/>
      <c r="G566" s="12"/>
      <c r="H566" s="16"/>
    </row>
    <row r="567" spans="6:8">
      <c r="F567" s="12"/>
      <c r="G567" s="12"/>
      <c r="H567" s="16"/>
    </row>
    <row r="568" spans="6:8">
      <c r="F568" s="12"/>
      <c r="G568" s="12"/>
      <c r="H568" s="16"/>
    </row>
    <row r="569" spans="6:8">
      <c r="F569" s="12"/>
      <c r="G569" s="12"/>
      <c r="H569" s="16"/>
    </row>
    <row r="570" spans="6:8">
      <c r="F570" s="12"/>
      <c r="G570" s="12"/>
      <c r="H570" s="16"/>
    </row>
    <row r="571" spans="6:8">
      <c r="F571" s="12"/>
      <c r="G571" s="12"/>
      <c r="H571" s="16"/>
    </row>
    <row r="572" spans="6:8">
      <c r="F572" s="12"/>
      <c r="G572" s="12"/>
      <c r="H572" s="16"/>
    </row>
    <row r="573" spans="6:8">
      <c r="F573" s="12"/>
      <c r="G573" s="12"/>
      <c r="H573" s="16"/>
    </row>
    <row r="574" spans="6:8">
      <c r="F574" s="12"/>
      <c r="G574" s="12"/>
      <c r="H574" s="16"/>
    </row>
    <row r="575" spans="6:8">
      <c r="F575" s="12"/>
      <c r="G575" s="12"/>
      <c r="H575" s="16"/>
    </row>
    <row r="576" spans="6:8">
      <c r="F576" s="12"/>
      <c r="G576" s="12"/>
      <c r="H576" s="16"/>
    </row>
    <row r="577" spans="6:8">
      <c r="F577" s="12"/>
      <c r="G577" s="12"/>
      <c r="H577" s="16"/>
    </row>
    <row r="578" spans="6:8">
      <c r="F578" s="12"/>
      <c r="G578" s="12"/>
      <c r="H578" s="16"/>
    </row>
    <row r="579" spans="6:8">
      <c r="F579" s="12"/>
      <c r="G579" s="12"/>
      <c r="H579" s="16"/>
    </row>
    <row r="580" spans="6:8">
      <c r="F580" s="12"/>
      <c r="G580" s="12"/>
      <c r="H580" s="16"/>
    </row>
    <row r="581" spans="6:8">
      <c r="F581" s="12"/>
      <c r="G581" s="12"/>
      <c r="H581" s="16"/>
    </row>
    <row r="582" spans="6:8">
      <c r="F582" s="12"/>
      <c r="G582" s="12"/>
      <c r="H582" s="16"/>
    </row>
    <row r="583" spans="6:8">
      <c r="F583" s="12"/>
      <c r="G583" s="12"/>
      <c r="H583" s="16"/>
    </row>
    <row r="584" spans="6:8">
      <c r="F584" s="12"/>
      <c r="G584" s="12"/>
      <c r="H584" s="16"/>
    </row>
    <row r="585" spans="6:8">
      <c r="F585" s="12"/>
      <c r="G585" s="12"/>
      <c r="H585" s="16"/>
    </row>
    <row r="586" spans="6:8">
      <c r="F586" s="12"/>
      <c r="G586" s="12"/>
      <c r="H586" s="16"/>
    </row>
    <row r="587" spans="6:8">
      <c r="F587" s="12"/>
      <c r="G587" s="12"/>
      <c r="H587" s="16"/>
    </row>
    <row r="588" spans="6:8">
      <c r="F588" s="12"/>
      <c r="G588" s="12"/>
      <c r="H588" s="16"/>
    </row>
    <row r="589" spans="6:8">
      <c r="F589" s="12"/>
      <c r="G589" s="12"/>
      <c r="H589" s="16"/>
    </row>
    <row r="590" spans="6:8">
      <c r="F590" s="12"/>
      <c r="G590" s="12"/>
      <c r="H590" s="16"/>
    </row>
    <row r="591" spans="6:8">
      <c r="F591" s="12"/>
      <c r="G591" s="12"/>
      <c r="H591" s="16"/>
    </row>
    <row r="592" spans="6:8">
      <c r="F592" s="12"/>
      <c r="G592" s="12"/>
      <c r="H592" s="16"/>
    </row>
    <row r="593" spans="6:8">
      <c r="F593" s="12"/>
      <c r="G593" s="12"/>
      <c r="H593" s="16"/>
    </row>
    <row r="594" spans="6:8">
      <c r="F594" s="12"/>
      <c r="G594" s="12"/>
      <c r="H594" s="16"/>
    </row>
    <row r="595" spans="6:8">
      <c r="F595" s="12"/>
      <c r="G595" s="12"/>
      <c r="H595" s="16"/>
    </row>
    <row r="596" spans="6:8">
      <c r="F596" s="12"/>
      <c r="G596" s="12"/>
      <c r="H596" s="16"/>
    </row>
    <row r="597" spans="6:8">
      <c r="F597" s="12"/>
      <c r="G597" s="12"/>
      <c r="H597" s="16"/>
    </row>
    <row r="598" spans="6:8">
      <c r="F598" s="12"/>
      <c r="G598" s="12"/>
      <c r="H598" s="16"/>
    </row>
    <row r="599" spans="6:8">
      <c r="F599" s="12"/>
      <c r="G599" s="12"/>
      <c r="H599" s="16"/>
    </row>
    <row r="600" spans="6:8">
      <c r="F600" s="12"/>
      <c r="G600" s="12"/>
      <c r="H600" s="16"/>
    </row>
    <row r="601" spans="6:8">
      <c r="F601" s="12"/>
      <c r="G601" s="12"/>
      <c r="H601" s="16"/>
    </row>
    <row r="602" spans="6:8">
      <c r="F602" s="12"/>
      <c r="G602" s="12"/>
      <c r="H602" s="16"/>
    </row>
    <row r="603" spans="6:8">
      <c r="F603" s="12"/>
      <c r="G603" s="12"/>
      <c r="H603" s="16"/>
    </row>
    <row r="604" spans="6:8">
      <c r="F604" s="12"/>
      <c r="G604" s="12"/>
      <c r="H604" s="16"/>
    </row>
    <row r="605" spans="6:8">
      <c r="F605" s="12"/>
      <c r="G605" s="12"/>
      <c r="H605" s="16"/>
    </row>
    <row r="606" spans="6:8">
      <c r="F606" s="12"/>
      <c r="G606" s="12"/>
      <c r="H606" s="16"/>
    </row>
    <row r="607" spans="6:8">
      <c r="F607" s="12"/>
      <c r="G607" s="12"/>
      <c r="H607" s="16"/>
    </row>
    <row r="608" spans="6:8">
      <c r="F608" s="12"/>
      <c r="G608" s="12"/>
      <c r="H608" s="16"/>
    </row>
    <row r="609" spans="6:8">
      <c r="F609" s="12"/>
      <c r="G609" s="12"/>
      <c r="H609" s="16"/>
    </row>
    <row r="610" spans="6:8">
      <c r="F610" s="12"/>
      <c r="G610" s="12"/>
      <c r="H610" s="16"/>
    </row>
    <row r="611" spans="6:8">
      <c r="F611" s="12"/>
      <c r="G611" s="12"/>
      <c r="H611" s="16"/>
    </row>
    <row r="612" spans="6:8">
      <c r="F612" s="12"/>
      <c r="G612" s="12"/>
      <c r="H612" s="16"/>
    </row>
    <row r="613" spans="6:8">
      <c r="F613" s="12"/>
      <c r="G613" s="12"/>
      <c r="H613" s="16"/>
    </row>
    <row r="614" spans="6:8">
      <c r="F614" s="12"/>
      <c r="G614" s="12"/>
      <c r="H614" s="16"/>
    </row>
    <row r="615" spans="6:8">
      <c r="F615" s="12"/>
      <c r="G615" s="12"/>
      <c r="H615" s="16"/>
    </row>
    <row r="616" spans="6:8">
      <c r="F616" s="12"/>
      <c r="G616" s="12"/>
      <c r="H616" s="16"/>
    </row>
    <row r="617" spans="6:8">
      <c r="F617" s="12"/>
      <c r="G617" s="12"/>
      <c r="H617" s="16"/>
    </row>
    <row r="618" spans="6:8">
      <c r="F618" s="12"/>
      <c r="G618" s="12"/>
      <c r="H618" s="16"/>
    </row>
    <row r="619" spans="6:8">
      <c r="F619" s="12"/>
      <c r="G619" s="12"/>
      <c r="H619" s="16"/>
    </row>
    <row r="620" spans="6:8">
      <c r="F620" s="12"/>
      <c r="G620" s="12"/>
      <c r="H620" s="16"/>
    </row>
    <row r="621" spans="6:8">
      <c r="F621" s="12"/>
      <c r="G621" s="12"/>
      <c r="H621" s="16"/>
    </row>
    <row r="622" spans="6:8">
      <c r="F622" s="12"/>
      <c r="G622" s="12"/>
      <c r="H622" s="16"/>
    </row>
    <row r="623" spans="6:8">
      <c r="F623" s="12"/>
      <c r="G623" s="12"/>
      <c r="H623" s="16"/>
    </row>
    <row r="624" spans="6:8">
      <c r="F624" s="12"/>
      <c r="G624" s="12"/>
      <c r="H624" s="16"/>
    </row>
    <row r="625" spans="6:8">
      <c r="F625" s="12"/>
      <c r="G625" s="12"/>
      <c r="H625" s="16"/>
    </row>
    <row r="626" spans="6:8">
      <c r="F626" s="12"/>
      <c r="G626" s="12"/>
      <c r="H626" s="16"/>
    </row>
    <row r="627" spans="6:8">
      <c r="F627" s="12"/>
      <c r="G627" s="12"/>
      <c r="H627" s="16"/>
    </row>
    <row r="628" spans="6:8">
      <c r="F628" s="12"/>
      <c r="G628" s="12"/>
      <c r="H628" s="16"/>
    </row>
    <row r="629" spans="6:8">
      <c r="F629" s="12"/>
      <c r="G629" s="12"/>
      <c r="H629" s="16"/>
    </row>
    <row r="630" spans="6:8">
      <c r="F630" s="12"/>
      <c r="G630" s="12"/>
      <c r="H630" s="16"/>
    </row>
    <row r="631" spans="6:8">
      <c r="F631" s="12"/>
      <c r="G631" s="12"/>
      <c r="H631" s="16"/>
    </row>
    <row r="632" spans="6:8">
      <c r="F632" s="12"/>
      <c r="G632" s="12"/>
      <c r="H632" s="16"/>
    </row>
    <row r="633" spans="6:8">
      <c r="F633" s="12"/>
      <c r="G633" s="12"/>
      <c r="H633" s="16"/>
    </row>
    <row r="634" spans="6:8">
      <c r="F634" s="12"/>
      <c r="G634" s="12"/>
      <c r="H634" s="16"/>
    </row>
    <row r="635" spans="6:8">
      <c r="F635" s="12"/>
      <c r="G635" s="12"/>
      <c r="H635" s="16"/>
    </row>
    <row r="636" spans="6:8">
      <c r="F636" s="12"/>
      <c r="G636" s="12"/>
      <c r="H636" s="16"/>
    </row>
    <row r="637" spans="6:8">
      <c r="F637" s="12"/>
      <c r="G637" s="12"/>
      <c r="H637" s="16"/>
    </row>
    <row r="638" spans="6:8">
      <c r="F638" s="12"/>
      <c r="G638" s="12"/>
      <c r="H638" s="16"/>
    </row>
    <row r="639" spans="6:8">
      <c r="F639" s="12"/>
      <c r="G639" s="12"/>
      <c r="H639" s="16"/>
    </row>
    <row r="640" spans="6:8">
      <c r="F640" s="12"/>
      <c r="G640" s="12"/>
      <c r="H640" s="16"/>
    </row>
    <row r="641" spans="6:8">
      <c r="F641" s="12"/>
      <c r="G641" s="12"/>
      <c r="H641" s="16"/>
    </row>
    <row r="642" spans="6:8">
      <c r="F642" s="12"/>
      <c r="G642" s="12"/>
      <c r="H642" s="16"/>
    </row>
    <row r="643" spans="6:8">
      <c r="F643" s="12"/>
      <c r="G643" s="12"/>
      <c r="H643" s="16"/>
    </row>
    <row r="644" spans="6:8">
      <c r="F644" s="12"/>
      <c r="G644" s="12"/>
      <c r="H644" s="16"/>
    </row>
    <row r="645" spans="6:8">
      <c r="F645" s="12"/>
      <c r="G645" s="12"/>
      <c r="H645" s="16"/>
    </row>
    <row r="646" spans="6:8">
      <c r="F646" s="12"/>
      <c r="G646" s="12"/>
      <c r="H646" s="16"/>
    </row>
    <row r="647" spans="6:8">
      <c r="F647" s="12"/>
      <c r="G647" s="12"/>
      <c r="H647" s="16"/>
    </row>
    <row r="648" spans="6:8">
      <c r="F648" s="12"/>
      <c r="G648" s="12"/>
      <c r="H648" s="16"/>
    </row>
    <row r="649" spans="6:8">
      <c r="F649" s="12"/>
      <c r="G649" s="12"/>
      <c r="H649" s="16"/>
    </row>
    <row r="650" spans="6:8">
      <c r="F650" s="12"/>
      <c r="G650" s="12"/>
      <c r="H650" s="16"/>
    </row>
    <row r="651" spans="6:8">
      <c r="F651" s="12"/>
      <c r="G651" s="12"/>
      <c r="H651" s="16"/>
    </row>
    <row r="652" spans="6:8">
      <c r="F652" s="12"/>
      <c r="G652" s="12"/>
      <c r="H652" s="16"/>
    </row>
    <row r="653" spans="6:8">
      <c r="F653" s="12"/>
      <c r="G653" s="12"/>
      <c r="H653" s="16"/>
    </row>
    <row r="654" spans="6:8">
      <c r="F654" s="12"/>
      <c r="G654" s="12"/>
      <c r="H654" s="16"/>
    </row>
    <row r="655" spans="6:8">
      <c r="F655" s="12"/>
      <c r="G655" s="12"/>
      <c r="H655" s="16"/>
    </row>
    <row r="656" spans="6:8">
      <c r="F656" s="12"/>
      <c r="G656" s="12"/>
      <c r="H656" s="16"/>
    </row>
    <row r="657" spans="6:8">
      <c r="F657" s="12"/>
      <c r="G657" s="12"/>
      <c r="H657" s="16"/>
    </row>
    <row r="658" spans="6:8">
      <c r="F658" s="12"/>
      <c r="G658" s="12"/>
      <c r="H658" s="16"/>
    </row>
    <row r="659" spans="6:8">
      <c r="F659" s="12"/>
      <c r="G659" s="12"/>
      <c r="H659" s="16"/>
    </row>
    <row r="660" spans="6:8">
      <c r="F660" s="12"/>
      <c r="G660" s="12"/>
      <c r="H660" s="16"/>
    </row>
    <row r="661" spans="6:8">
      <c r="F661" s="12"/>
      <c r="G661" s="12"/>
      <c r="H661" s="16"/>
    </row>
    <row r="662" spans="6:8">
      <c r="F662" s="12"/>
      <c r="G662" s="12"/>
      <c r="H662" s="16"/>
    </row>
    <row r="663" spans="6:8">
      <c r="F663" s="12"/>
      <c r="G663" s="12"/>
      <c r="H663" s="16"/>
    </row>
    <row r="664" spans="6:8">
      <c r="F664" s="12"/>
      <c r="G664" s="12"/>
      <c r="H664" s="16"/>
    </row>
    <row r="665" spans="6:8">
      <c r="F665" s="12"/>
      <c r="G665" s="12"/>
      <c r="H665" s="16"/>
    </row>
    <row r="666" spans="6:8">
      <c r="F666" s="12"/>
      <c r="G666" s="12"/>
      <c r="H666" s="16"/>
    </row>
    <row r="667" spans="6:8">
      <c r="F667" s="12"/>
      <c r="G667" s="12"/>
      <c r="H667" s="16"/>
    </row>
    <row r="668" spans="6:8">
      <c r="F668" s="12"/>
      <c r="G668" s="12"/>
      <c r="H668" s="16"/>
    </row>
    <row r="669" spans="6:8">
      <c r="F669" s="12"/>
      <c r="G669" s="12"/>
      <c r="H669" s="16"/>
    </row>
    <row r="670" spans="6:8">
      <c r="F670" s="12"/>
      <c r="G670" s="12"/>
      <c r="H670" s="16"/>
    </row>
    <row r="671" spans="6:8">
      <c r="F671" s="12"/>
      <c r="G671" s="12"/>
      <c r="H671" s="16"/>
    </row>
    <row r="672" spans="6:8">
      <c r="F672" s="12"/>
      <c r="G672" s="12"/>
      <c r="H672" s="16"/>
    </row>
    <row r="673" spans="6:8">
      <c r="F673" s="12"/>
      <c r="G673" s="12"/>
      <c r="H673" s="16"/>
    </row>
    <row r="674" spans="6:8">
      <c r="F674" s="12"/>
      <c r="G674" s="12"/>
      <c r="H674" s="16"/>
    </row>
    <row r="675" spans="6:8">
      <c r="F675" s="12"/>
      <c r="G675" s="12"/>
      <c r="H675" s="16"/>
    </row>
    <row r="676" spans="6:8">
      <c r="F676" s="12"/>
      <c r="G676" s="12"/>
      <c r="H676" s="16"/>
    </row>
    <row r="677" spans="6:8">
      <c r="F677" s="12"/>
      <c r="G677" s="12"/>
      <c r="H677" s="16"/>
    </row>
    <row r="678" spans="6:8">
      <c r="F678" s="12"/>
      <c r="G678" s="12"/>
      <c r="H678" s="16"/>
    </row>
    <row r="679" spans="6:8">
      <c r="F679" s="12"/>
      <c r="G679" s="12"/>
      <c r="H679" s="16"/>
    </row>
    <row r="680" spans="6:8">
      <c r="F680" s="12"/>
      <c r="G680" s="12"/>
      <c r="H680" s="16"/>
    </row>
    <row r="681" spans="6:8">
      <c r="F681" s="12"/>
      <c r="G681" s="12"/>
      <c r="H681" s="16"/>
    </row>
    <row r="682" spans="6:8">
      <c r="F682" s="12"/>
      <c r="G682" s="12"/>
      <c r="H682" s="16"/>
    </row>
    <row r="683" spans="6:8">
      <c r="F683" s="12"/>
      <c r="G683" s="12"/>
      <c r="H683" s="16"/>
    </row>
    <row r="684" spans="6:8">
      <c r="F684" s="12"/>
      <c r="G684" s="12"/>
      <c r="H684" s="16"/>
    </row>
    <row r="685" spans="6:8">
      <c r="F685" s="12"/>
      <c r="G685" s="12"/>
      <c r="H685" s="16"/>
    </row>
    <row r="686" spans="6:8">
      <c r="F686" s="12"/>
      <c r="G686" s="12"/>
      <c r="H686" s="16"/>
    </row>
    <row r="687" spans="6:8">
      <c r="F687" s="12"/>
      <c r="G687" s="12"/>
      <c r="H687" s="16"/>
    </row>
    <row r="688" spans="6:8">
      <c r="F688" s="12"/>
      <c r="G688" s="12"/>
      <c r="H688" s="16"/>
    </row>
    <row r="689" spans="6:8">
      <c r="F689" s="12"/>
      <c r="G689" s="12"/>
      <c r="H689" s="16"/>
    </row>
    <row r="690" spans="6:8">
      <c r="F690" s="12"/>
      <c r="G690" s="12"/>
      <c r="H690" s="16"/>
    </row>
    <row r="691" spans="6:8">
      <c r="F691" s="12"/>
      <c r="G691" s="12"/>
      <c r="H691" s="16"/>
    </row>
    <row r="692" spans="6:8">
      <c r="F692" s="12"/>
      <c r="G692" s="12"/>
      <c r="H692" s="16"/>
    </row>
    <row r="693" spans="6:8">
      <c r="F693" s="12"/>
      <c r="G693" s="12"/>
      <c r="H693" s="16"/>
    </row>
    <row r="694" spans="6:8">
      <c r="F694" s="12"/>
      <c r="G694" s="12"/>
      <c r="H694" s="16"/>
    </row>
    <row r="695" spans="6:8">
      <c r="F695" s="12"/>
      <c r="G695" s="12"/>
      <c r="H695" s="16"/>
    </row>
    <row r="696" spans="6:8">
      <c r="F696" s="12"/>
      <c r="G696" s="12"/>
      <c r="H696" s="16"/>
    </row>
    <row r="697" spans="6:8">
      <c r="F697" s="12"/>
      <c r="G697" s="12"/>
      <c r="H697" s="16"/>
    </row>
    <row r="698" spans="6:8">
      <c r="F698" s="12"/>
      <c r="G698" s="12"/>
      <c r="H698" s="16"/>
    </row>
    <row r="699" spans="6:8">
      <c r="F699" s="12"/>
      <c r="G699" s="12"/>
      <c r="H699" s="16"/>
    </row>
    <row r="700" spans="6:8">
      <c r="F700" s="12"/>
      <c r="G700" s="12"/>
      <c r="H700" s="16"/>
    </row>
    <row r="701" spans="6:8">
      <c r="F701" s="12"/>
      <c r="G701" s="12"/>
      <c r="H701" s="16"/>
    </row>
    <row r="702" spans="6:8">
      <c r="F702" s="12"/>
      <c r="G702" s="12"/>
      <c r="H702" s="16"/>
    </row>
    <row r="703" spans="6:8">
      <c r="F703" s="12"/>
      <c r="G703" s="12"/>
      <c r="H703" s="16"/>
    </row>
    <row r="704" spans="6:8">
      <c r="F704" s="12"/>
      <c r="G704" s="12"/>
      <c r="H704" s="16"/>
    </row>
    <row r="705" spans="6:8">
      <c r="F705" s="12"/>
      <c r="G705" s="12"/>
      <c r="H705" s="16"/>
    </row>
    <row r="706" spans="6:8">
      <c r="F706" s="12"/>
      <c r="G706" s="12"/>
      <c r="H706" s="16"/>
    </row>
    <row r="707" spans="6:8">
      <c r="F707" s="12"/>
      <c r="G707" s="12"/>
      <c r="H707" s="16"/>
    </row>
    <row r="708" spans="6:8">
      <c r="F708" s="12"/>
      <c r="G708" s="12"/>
      <c r="H708" s="16"/>
    </row>
    <row r="709" spans="6:8">
      <c r="F709" s="12"/>
      <c r="G709" s="12"/>
      <c r="H709" s="16"/>
    </row>
    <row r="710" spans="6:8">
      <c r="F710" s="12"/>
      <c r="G710" s="12"/>
      <c r="H710" s="16"/>
    </row>
    <row r="711" spans="6:8">
      <c r="F711" s="12"/>
      <c r="G711" s="12"/>
      <c r="H711" s="16"/>
    </row>
    <row r="712" spans="6:8">
      <c r="F712" s="12"/>
      <c r="G712" s="12"/>
      <c r="H712" s="16"/>
    </row>
    <row r="713" spans="6:8">
      <c r="F713" s="12"/>
      <c r="G713" s="12"/>
      <c r="H713" s="16"/>
    </row>
    <row r="714" spans="6:8">
      <c r="F714" s="12"/>
      <c r="G714" s="12"/>
      <c r="H714" s="16"/>
    </row>
    <row r="715" spans="6:8">
      <c r="F715" s="12"/>
      <c r="G715" s="12"/>
      <c r="H715" s="16"/>
    </row>
    <row r="716" spans="6:8">
      <c r="F716" s="12"/>
      <c r="G716" s="12"/>
      <c r="H716" s="16"/>
    </row>
    <row r="717" spans="6:8">
      <c r="F717" s="12"/>
      <c r="G717" s="12"/>
      <c r="H717" s="16"/>
    </row>
    <row r="718" spans="6:8">
      <c r="F718" s="12"/>
      <c r="G718" s="12"/>
      <c r="H718" s="16"/>
    </row>
    <row r="719" spans="6:8">
      <c r="F719" s="12"/>
      <c r="G719" s="12"/>
      <c r="H719" s="16"/>
    </row>
    <row r="720" spans="6:8">
      <c r="F720" s="12"/>
      <c r="G720" s="12"/>
      <c r="H720" s="16"/>
    </row>
    <row r="721" spans="6:8">
      <c r="F721" s="12"/>
      <c r="G721" s="12"/>
      <c r="H721" s="16"/>
    </row>
    <row r="722" spans="6:8">
      <c r="F722" s="12"/>
      <c r="G722" s="12"/>
      <c r="H722" s="16"/>
    </row>
    <row r="723" spans="6:8">
      <c r="F723" s="12"/>
      <c r="G723" s="12"/>
      <c r="H723" s="16"/>
    </row>
    <row r="724" spans="6:8">
      <c r="F724" s="12"/>
      <c r="G724" s="12"/>
      <c r="H724" s="16"/>
    </row>
    <row r="725" spans="6:8">
      <c r="F725" s="12"/>
      <c r="G725" s="12"/>
      <c r="H725" s="16"/>
    </row>
    <row r="726" spans="6:8">
      <c r="F726" s="12"/>
      <c r="G726" s="12"/>
      <c r="H726" s="16"/>
    </row>
    <row r="727" spans="6:8">
      <c r="F727" s="12"/>
      <c r="G727" s="12"/>
      <c r="H727" s="16"/>
    </row>
    <row r="728" spans="6:8">
      <c r="F728" s="12"/>
      <c r="G728" s="12"/>
      <c r="H728" s="16"/>
    </row>
    <row r="729" spans="6:8">
      <c r="F729" s="12"/>
      <c r="G729" s="12"/>
      <c r="H729" s="16"/>
    </row>
    <row r="730" spans="6:8">
      <c r="F730" s="12"/>
      <c r="G730" s="12"/>
      <c r="H730" s="16"/>
    </row>
    <row r="731" spans="6:8">
      <c r="F731" s="12"/>
      <c r="G731" s="12"/>
      <c r="H731" s="16"/>
    </row>
    <row r="732" spans="6:8">
      <c r="F732" s="12"/>
      <c r="G732" s="12"/>
      <c r="H732" s="16"/>
    </row>
    <row r="733" spans="6:8">
      <c r="F733" s="12"/>
      <c r="G733" s="12"/>
      <c r="H733" s="16"/>
    </row>
    <row r="734" spans="6:8">
      <c r="F734" s="12"/>
      <c r="G734" s="12"/>
      <c r="H734" s="16"/>
    </row>
    <row r="735" spans="6:8">
      <c r="F735" s="12"/>
      <c r="G735" s="12"/>
      <c r="H735" s="16"/>
    </row>
    <row r="736" spans="6:8">
      <c r="F736" s="12"/>
      <c r="G736" s="12"/>
      <c r="H736" s="16"/>
    </row>
    <row r="737" spans="6:8">
      <c r="F737" s="12"/>
      <c r="G737" s="12"/>
      <c r="H737" s="16"/>
    </row>
    <row r="738" spans="6:8">
      <c r="F738" s="12"/>
      <c r="G738" s="12"/>
      <c r="H738" s="16"/>
    </row>
    <row r="739" spans="6:8">
      <c r="F739" s="12"/>
      <c r="G739" s="12"/>
      <c r="H739" s="16"/>
    </row>
    <row r="740" spans="6:8">
      <c r="F740" s="12"/>
      <c r="G740" s="12"/>
      <c r="H740" s="16"/>
    </row>
    <row r="741" spans="6:8">
      <c r="F741" s="12"/>
      <c r="G741" s="12"/>
      <c r="H741" s="16"/>
    </row>
    <row r="742" spans="6:8">
      <c r="F742" s="12"/>
      <c r="G742" s="12"/>
      <c r="H742" s="16"/>
    </row>
    <row r="743" spans="6:8">
      <c r="F743" s="12"/>
      <c r="G743" s="12"/>
      <c r="H743" s="16"/>
    </row>
    <row r="744" spans="6:8">
      <c r="F744" s="12"/>
      <c r="G744" s="12"/>
      <c r="H744" s="16"/>
    </row>
    <row r="745" spans="6:8">
      <c r="F745" s="12"/>
      <c r="G745" s="12"/>
      <c r="H745" s="16"/>
    </row>
    <row r="746" spans="6:8">
      <c r="F746" s="12"/>
      <c r="G746" s="12"/>
      <c r="H746" s="16"/>
    </row>
    <row r="747" spans="6:8">
      <c r="F747" s="12"/>
      <c r="G747" s="12"/>
      <c r="H747" s="16"/>
    </row>
    <row r="748" spans="6:8">
      <c r="F748" s="12"/>
      <c r="G748" s="12"/>
      <c r="H748" s="16"/>
    </row>
    <row r="749" spans="6:8">
      <c r="F749" s="12"/>
      <c r="G749" s="12"/>
      <c r="H749" s="16"/>
    </row>
    <row r="750" spans="6:8">
      <c r="F750" s="12"/>
      <c r="G750" s="12"/>
      <c r="H750" s="16"/>
    </row>
    <row r="751" spans="6:8">
      <c r="F751" s="12"/>
      <c r="G751" s="12"/>
      <c r="H751" s="16"/>
    </row>
    <row r="752" spans="6:8">
      <c r="F752" s="12"/>
      <c r="G752" s="12"/>
      <c r="H752" s="16"/>
    </row>
    <row r="753" spans="6:8">
      <c r="F753" s="12"/>
      <c r="G753" s="12"/>
      <c r="H753" s="16"/>
    </row>
    <row r="754" spans="6:8">
      <c r="F754" s="12"/>
      <c r="G754" s="12"/>
      <c r="H754" s="16"/>
    </row>
    <row r="755" spans="6:8">
      <c r="F755" s="12"/>
      <c r="G755" s="12"/>
      <c r="H755" s="16"/>
    </row>
    <row r="756" spans="6:8">
      <c r="F756" s="12"/>
      <c r="G756" s="12"/>
      <c r="H756" s="16"/>
    </row>
    <row r="757" spans="6:8">
      <c r="F757" s="12"/>
      <c r="G757" s="12"/>
      <c r="H757" s="16"/>
    </row>
    <row r="758" spans="6:8">
      <c r="F758" s="12"/>
      <c r="G758" s="12"/>
      <c r="H758" s="16"/>
    </row>
    <row r="759" spans="6:8">
      <c r="F759" s="12"/>
      <c r="G759" s="12"/>
      <c r="H759" s="16"/>
    </row>
    <row r="760" spans="6:8">
      <c r="F760" s="12"/>
      <c r="G760" s="12"/>
      <c r="H760" s="16"/>
    </row>
    <row r="761" spans="6:8">
      <c r="F761" s="12"/>
      <c r="G761" s="12"/>
      <c r="H761" s="16"/>
    </row>
    <row r="762" spans="6:8">
      <c r="F762" s="12"/>
      <c r="G762" s="12"/>
      <c r="H762" s="16"/>
    </row>
    <row r="763" spans="6:8">
      <c r="F763" s="12"/>
      <c r="G763" s="12"/>
      <c r="H763" s="16"/>
    </row>
    <row r="764" spans="6:8">
      <c r="F764" s="12"/>
      <c r="G764" s="12"/>
      <c r="H764" s="16"/>
    </row>
    <row r="765" spans="6:8">
      <c r="F765" s="12"/>
      <c r="G765" s="12"/>
      <c r="H765" s="16"/>
    </row>
    <row r="766" spans="6:8">
      <c r="F766" s="12"/>
      <c r="G766" s="12"/>
      <c r="H766" s="16"/>
    </row>
    <row r="767" spans="6:8">
      <c r="F767" s="12"/>
      <c r="G767" s="12"/>
      <c r="H767" s="16"/>
    </row>
    <row r="768" spans="6:8">
      <c r="F768" s="12"/>
      <c r="G768" s="12"/>
      <c r="H768" s="16"/>
    </row>
    <row r="769" spans="6:8">
      <c r="F769" s="12"/>
      <c r="G769" s="12"/>
      <c r="H769" s="16"/>
    </row>
  </sheetData>
  <mergeCells count="1">
    <mergeCell ref="A1:D3"/>
  </mergeCells>
  <phoneticPr fontId="18"/>
  <hyperlinks>
    <hyperlink ref="F19" r:id="rId1"/>
    <hyperlink ref="I19" r:id="rId2"/>
    <hyperlink ref="I61" r:id="rId3"/>
    <hyperlink ref="I10" r:id="rId4"/>
    <hyperlink ref="F10" r:id="rId5"/>
    <hyperlink ref="F109" r:id="rId6"/>
    <hyperlink ref="F61" r:id="rId7"/>
    <hyperlink ref="F62" r:id="rId8"/>
    <hyperlink ref="I63" r:id="rId9"/>
    <hyperlink ref="F63" r:id="rId10"/>
    <hyperlink ref="F65" r:id="rId11"/>
    <hyperlink ref="F66" r:id="rId12"/>
    <hyperlink ref="I66" r:id="rId13"/>
    <hyperlink ref="F68" r:id="rId14"/>
    <hyperlink ref="F165" r:id="rId15"/>
    <hyperlink ref="F166" r:id="rId16"/>
    <hyperlink ref="F167" r:id="rId17"/>
    <hyperlink ref="F168" r:id="rId18"/>
    <hyperlink ref="F169" r:id="rId19"/>
    <hyperlink ref="F170" r:id="rId20"/>
    <hyperlink ref="F171" r:id="rId21"/>
    <hyperlink ref="F172" r:id="rId22"/>
    <hyperlink ref="F173" r:id="rId23"/>
    <hyperlink ref="F174" r:id="rId24"/>
    <hyperlink ref="F175" r:id="rId25"/>
    <hyperlink ref="F176" r:id="rId26"/>
    <hyperlink ref="F177" r:id="rId27"/>
    <hyperlink ref="F178" r:id="rId28"/>
    <hyperlink ref="F179" r:id="rId29"/>
    <hyperlink ref="F180" r:id="rId30"/>
    <hyperlink ref="F181" r:id="rId31"/>
    <hyperlink ref="F182" r:id="rId32"/>
    <hyperlink ref="F183" r:id="rId33"/>
    <hyperlink ref="F184" r:id="rId34"/>
    <hyperlink ref="I62" r:id="rId35"/>
    <hyperlink ref="I65" r:id="rId36"/>
    <hyperlink ref="F69" r:id="rId37"/>
    <hyperlink ref="F70" r:id="rId38"/>
    <hyperlink ref="F71" r:id="rId39"/>
    <hyperlink ref="F73" r:id="rId40"/>
    <hyperlink ref="F74" r:id="rId41"/>
    <hyperlink ref="F75" r:id="rId42"/>
    <hyperlink ref="F76" r:id="rId43"/>
    <hyperlink ref="F77" r:id="rId44"/>
    <hyperlink ref="I71" r:id="rId45"/>
    <hyperlink ref="I72" r:id="rId46"/>
    <hyperlink ref="I73" r:id="rId47"/>
    <hyperlink ref="I74" r:id="rId48"/>
    <hyperlink ref="I75" r:id="rId49"/>
    <hyperlink ref="I76" r:id="rId50"/>
    <hyperlink ref="I77" r:id="rId51"/>
    <hyperlink ref="F72" r:id="rId52"/>
  </hyperlinks>
  <pageMargins left="0.7" right="0.7" top="0.75" bottom="0.75" header="0.3" footer="0.3"/>
  <pageSetup paperSize="9" orientation="portrait" r:id="rId5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B1:AB50"/>
  <sheetViews>
    <sheetView view="pageBreakPreview" zoomScaleNormal="85" zoomScaleSheetLayoutView="100" workbookViewId="0">
      <selection activeCell="N51" sqref="N51:N52"/>
    </sheetView>
  </sheetViews>
  <sheetFormatPr defaultColWidth="9" defaultRowHeight="13.5"/>
  <cols>
    <col min="1" max="1" width="2" style="1" customWidth="1"/>
    <col min="2" max="2" width="10.5" style="1" customWidth="1"/>
    <col min="3" max="7" width="2.625" style="1" customWidth="1"/>
    <col min="8" max="8" width="7.875" style="1" customWidth="1"/>
    <col min="9" max="9" width="7.75" style="1" customWidth="1"/>
    <col min="10" max="11" width="2.625" style="10" customWidth="1"/>
    <col min="12" max="12" width="13.625" style="1" customWidth="1"/>
    <col min="13" max="14" width="2.625" style="10" customWidth="1"/>
    <col min="15" max="15" width="13.625" style="1" customWidth="1"/>
    <col min="16" max="17" width="2.5" style="10" customWidth="1"/>
    <col min="18" max="18" width="13.625" style="1" customWidth="1"/>
    <col min="19" max="20" width="2.5" style="10" customWidth="1"/>
    <col min="21" max="21" width="13.625" style="1" customWidth="1"/>
    <col min="22" max="23" width="2.5" style="10" customWidth="1"/>
    <col min="24" max="24" width="13.625" style="1" customWidth="1"/>
    <col min="25" max="26" width="2.5" style="1" customWidth="1"/>
    <col min="27" max="27" width="13.625" style="1" customWidth="1"/>
    <col min="28" max="28" width="2.5" style="10" customWidth="1"/>
    <col min="29" max="16384" width="9" style="1"/>
  </cols>
  <sheetData>
    <row r="1" spans="2:27">
      <c r="H1" s="137" t="s">
        <v>868</v>
      </c>
      <c r="I1" s="137"/>
      <c r="R1" s="10"/>
    </row>
    <row r="2" spans="2:27" ht="9" customHeight="1"/>
    <row r="3" spans="2:27">
      <c r="E3" s="10"/>
      <c r="F3" s="103"/>
      <c r="G3" s="99"/>
      <c r="H3" s="266" t="s">
        <v>825</v>
      </c>
      <c r="I3" s="266"/>
      <c r="J3" s="93"/>
      <c r="K3" s="93"/>
      <c r="L3" s="92" t="s">
        <v>826</v>
      </c>
      <c r="M3" s="93"/>
      <c r="N3" s="93"/>
      <c r="O3" s="92" t="s">
        <v>828</v>
      </c>
      <c r="P3" s="93"/>
      <c r="Q3" s="93"/>
      <c r="R3" s="92" t="s">
        <v>827</v>
      </c>
      <c r="S3" s="93"/>
      <c r="T3" s="93"/>
      <c r="U3" s="92" t="s">
        <v>830</v>
      </c>
      <c r="V3" s="93"/>
      <c r="W3" s="93"/>
      <c r="X3" s="92"/>
      <c r="Y3" s="94"/>
      <c r="Z3" s="91"/>
      <c r="AA3" s="92"/>
    </row>
    <row r="4" spans="2:27">
      <c r="E4" s="10"/>
      <c r="F4" s="103"/>
      <c r="G4" s="105"/>
      <c r="H4" s="266" t="str">
        <f>IF(H3="","",VLOOKUP(H3,表示電話番号一覧!$C:$F,4,FALSE))</f>
        <v>080-3754-3568</v>
      </c>
      <c r="I4" s="266"/>
      <c r="J4" s="96"/>
      <c r="K4" s="97"/>
      <c r="L4" s="95" t="str">
        <f>IF(L3="","",VLOOKUP(L3,表示電話番号一覧!$C:$F,4,FALSE))</f>
        <v>080-4862-3745</v>
      </c>
      <c r="M4" s="96"/>
      <c r="N4" s="96"/>
      <c r="O4" s="95" t="str">
        <f>IF(O3="","",VLOOKUP(O3,表示電話番号一覧!$C:$F,4,FALSE))</f>
        <v>090-1791-5298</v>
      </c>
      <c r="P4" s="96"/>
      <c r="Q4" s="96"/>
      <c r="R4" s="95" t="str">
        <f>IF(R3="","",VLOOKUP(R3,表示電話番号一覧!$C:$F,4,FALSE))</f>
        <v>090-3104-3067</v>
      </c>
      <c r="S4" s="96"/>
      <c r="T4" s="96"/>
      <c r="U4" s="95" t="str">
        <f>IF(U3="","",VLOOKUP(U3,表示電話番号一覧!$C:$F,4,FALSE))</f>
        <v>080-3384-9464</v>
      </c>
      <c r="V4" s="96"/>
      <c r="W4" s="96"/>
      <c r="X4" s="95" t="str">
        <f>IF(X3="","",VLOOKUP(X3,表示電話番号一覧!$C:$F,4,FALSE))</f>
        <v/>
      </c>
      <c r="Y4" s="98"/>
      <c r="Z4" s="98"/>
      <c r="AA4" s="95" t="str">
        <f>IF(AA3="","",VLOOKUP(AA3,表示電話番号一覧!$C:$F,4,FALSE))</f>
        <v/>
      </c>
    </row>
    <row r="5" spans="2:27">
      <c r="B5" s="10"/>
      <c r="C5" s="10"/>
      <c r="D5" s="10"/>
      <c r="E5" s="10"/>
      <c r="F5" s="103"/>
      <c r="G5" s="101"/>
      <c r="J5" s="96"/>
      <c r="K5" s="97"/>
      <c r="L5" s="98"/>
      <c r="M5" s="96"/>
      <c r="N5" s="96"/>
      <c r="O5" s="98"/>
      <c r="P5" s="96"/>
      <c r="Q5" s="96"/>
      <c r="R5" s="98"/>
      <c r="S5" s="96"/>
      <c r="T5" s="96"/>
      <c r="U5" s="98"/>
      <c r="V5" s="96"/>
      <c r="W5" s="96"/>
      <c r="X5" s="98"/>
      <c r="Y5" s="98"/>
      <c r="Z5" s="98"/>
      <c r="AA5" s="98"/>
    </row>
    <row r="6" spans="2:27">
      <c r="B6" s="10"/>
      <c r="C6" s="10"/>
      <c r="D6" s="10"/>
      <c r="E6" s="10"/>
      <c r="F6" s="104"/>
      <c r="G6" s="101"/>
      <c r="J6" s="96"/>
      <c r="K6" s="95"/>
      <c r="L6" s="92" t="s">
        <v>831</v>
      </c>
      <c r="M6" s="93"/>
      <c r="N6" s="93"/>
      <c r="O6" s="92" t="s">
        <v>832</v>
      </c>
      <c r="P6" s="93"/>
      <c r="Q6" s="93"/>
      <c r="R6" s="92" t="s">
        <v>833</v>
      </c>
      <c r="S6" s="93"/>
      <c r="T6" s="93"/>
      <c r="U6" s="92" t="s">
        <v>834</v>
      </c>
      <c r="V6" s="93"/>
      <c r="W6" s="93"/>
      <c r="X6" s="92" t="s">
        <v>835</v>
      </c>
      <c r="Y6" s="94"/>
      <c r="Z6" s="91"/>
      <c r="AA6" s="92" t="s">
        <v>870</v>
      </c>
    </row>
    <row r="7" spans="2:27">
      <c r="B7" s="10"/>
      <c r="C7" s="10"/>
      <c r="D7" s="10"/>
      <c r="E7" s="10"/>
      <c r="F7" s="104"/>
      <c r="G7" s="101"/>
      <c r="J7" s="96"/>
      <c r="K7" s="96"/>
      <c r="L7" s="95" t="str">
        <f>IF(L6="","",VLOOKUP(L6,表示電話番号一覧!$C:$F,4,FALSE))</f>
        <v>070-3514-2223</v>
      </c>
      <c r="M7" s="96"/>
      <c r="N7" s="96"/>
      <c r="O7" s="95" t="str">
        <f>IF(O6="","",VLOOKUP(O6,表示電話番号一覧!$C:$F,4,FALSE))</f>
        <v>070-3541-0264</v>
      </c>
      <c r="P7" s="96"/>
      <c r="Q7" s="96"/>
      <c r="R7" s="95" t="str">
        <f>IF(R6="","",VLOOKUP(R6,表示電話番号一覧!$C:$F,4,FALSE))</f>
        <v>080-7933-6122</v>
      </c>
      <c r="S7" s="96"/>
      <c r="T7" s="96"/>
      <c r="U7" s="95" t="str">
        <f>IF(U6="","",VLOOKUP(U6,表示電話番号一覧!$C:$F,4,FALSE))</f>
        <v>090-2442-2655</v>
      </c>
      <c r="V7" s="96"/>
      <c r="W7" s="96"/>
      <c r="X7" s="95" t="e">
        <f>IF(X6="","",VLOOKUP(X6,表示電話番号一覧!$C:$F,4,FALSE))</f>
        <v>#N/A</v>
      </c>
      <c r="Y7" s="98"/>
      <c r="Z7" s="98"/>
      <c r="AA7" s="95" t="e">
        <f>IF(AA6="","",VLOOKUP(AA6,表示電話番号一覧!$C:$F,4,FALSE))</f>
        <v>#N/A</v>
      </c>
    </row>
    <row r="8" spans="2:27">
      <c r="B8" s="10"/>
      <c r="C8" s="10"/>
      <c r="D8" s="10"/>
      <c r="E8" s="10"/>
      <c r="F8" s="104"/>
      <c r="G8" s="101"/>
      <c r="L8" s="10"/>
    </row>
    <row r="9" spans="2:27">
      <c r="B9" s="10"/>
      <c r="C9" s="10"/>
      <c r="D9" s="10"/>
      <c r="E9" s="10"/>
      <c r="F9" s="104"/>
      <c r="G9" s="101"/>
      <c r="J9" s="112"/>
      <c r="K9" s="106"/>
      <c r="L9" s="107" t="s">
        <v>837</v>
      </c>
      <c r="M9" s="108"/>
      <c r="N9" s="108"/>
      <c r="O9" s="107" t="s">
        <v>67</v>
      </c>
      <c r="P9" s="108"/>
      <c r="Q9" s="108"/>
      <c r="R9" s="107" t="s">
        <v>84</v>
      </c>
      <c r="S9" s="108"/>
      <c r="T9" s="108"/>
      <c r="U9" s="107" t="s">
        <v>838</v>
      </c>
      <c r="V9" s="108"/>
      <c r="W9" s="108"/>
      <c r="X9" s="107" t="s">
        <v>89</v>
      </c>
      <c r="Y9" s="109"/>
      <c r="Z9" s="106"/>
      <c r="AA9" s="107" t="s">
        <v>81</v>
      </c>
    </row>
    <row r="10" spans="2:27">
      <c r="B10" s="10"/>
      <c r="C10" s="10"/>
      <c r="D10" s="10"/>
      <c r="E10" s="10"/>
      <c r="F10" s="104"/>
      <c r="G10" s="101"/>
      <c r="J10" s="112"/>
      <c r="K10" s="110"/>
      <c r="L10" s="111" t="str">
        <f>IF(L9="","",VLOOKUP(L9,表示電話番号一覧!$C:$F,4,FALSE))</f>
        <v>080-4581-1554</v>
      </c>
      <c r="M10" s="112"/>
      <c r="N10" s="112"/>
      <c r="O10" s="111" t="str">
        <f>IF(O9="","",VLOOKUP(O9,表示電話番号一覧!$C:$F,4,FALSE))</f>
        <v>080-3431-6721</v>
      </c>
      <c r="P10" s="112"/>
      <c r="Q10" s="112"/>
      <c r="R10" s="111" t="str">
        <f>IF(R9="","",VLOOKUP(R9,表示電話番号一覧!$C:$F,4,FALSE))</f>
        <v>080-3566-8973</v>
      </c>
      <c r="S10" s="112"/>
      <c r="T10" s="112"/>
      <c r="U10" s="111" t="str">
        <f>IF(U9="","",VLOOKUP(U9,表示電話番号一覧!$C:$F,4,FALSE))</f>
        <v>070-3854-6729</v>
      </c>
      <c r="V10" s="112"/>
      <c r="W10" s="112"/>
      <c r="X10" s="111" t="str">
        <f>IF(X9="","",VLOOKUP(X9,表示電話番号一覧!$C:$F,4,FALSE))</f>
        <v>070-3533-7394</v>
      </c>
      <c r="Y10" s="113"/>
      <c r="Z10" s="113"/>
      <c r="AA10" s="111" t="str">
        <f>IF(AA9="","",VLOOKUP(AA9,表示電話番号一覧!$C:$F,4,FALSE))</f>
        <v>080-9870-0199</v>
      </c>
    </row>
    <row r="11" spans="2:27">
      <c r="B11" s="10"/>
      <c r="C11" s="10"/>
      <c r="D11" s="10"/>
      <c r="E11" s="10"/>
      <c r="F11" s="104"/>
      <c r="G11" s="101"/>
      <c r="J11" s="112"/>
      <c r="K11" s="110"/>
      <c r="L11" s="113"/>
      <c r="M11" s="112"/>
      <c r="N11" s="112"/>
      <c r="O11" s="113"/>
      <c r="P11" s="112"/>
      <c r="Q11" s="112"/>
      <c r="R11" s="113"/>
      <c r="S11" s="112"/>
      <c r="T11" s="112"/>
      <c r="U11" s="112"/>
      <c r="V11" s="112"/>
      <c r="W11" s="112"/>
      <c r="X11" s="113"/>
      <c r="Y11" s="113"/>
      <c r="Z11" s="113"/>
      <c r="AA11" s="113"/>
    </row>
    <row r="12" spans="2:27">
      <c r="B12" s="10"/>
      <c r="C12" s="10"/>
      <c r="D12" s="10"/>
      <c r="E12" s="10"/>
      <c r="F12" s="104"/>
      <c r="G12" s="101"/>
      <c r="H12" s="10"/>
      <c r="I12" s="10"/>
      <c r="J12" s="112"/>
      <c r="K12" s="111"/>
      <c r="L12" s="107" t="s">
        <v>33</v>
      </c>
      <c r="M12" s="108"/>
      <c r="N12" s="108"/>
      <c r="O12" s="107" t="s">
        <v>49</v>
      </c>
      <c r="P12" s="108"/>
      <c r="Q12" s="108"/>
      <c r="R12" s="107" t="s">
        <v>75</v>
      </c>
      <c r="S12" s="108"/>
      <c r="T12" s="108"/>
      <c r="U12" s="107" t="s">
        <v>839</v>
      </c>
      <c r="V12" s="108"/>
      <c r="W12" s="108"/>
      <c r="X12" s="107"/>
      <c r="Y12" s="109"/>
      <c r="Z12" s="106"/>
      <c r="AA12" s="107"/>
    </row>
    <row r="13" spans="2:27">
      <c r="B13" s="10"/>
      <c r="C13" s="10"/>
      <c r="D13" s="10"/>
      <c r="E13" s="10"/>
      <c r="F13" s="104"/>
      <c r="G13" s="101"/>
      <c r="H13" s="10"/>
      <c r="I13" s="10"/>
      <c r="J13" s="112"/>
      <c r="K13" s="110"/>
      <c r="L13" s="111" t="str">
        <f>IF(L12="","",VLOOKUP(L12,表示電話番号一覧!$C:$F,4,FALSE))</f>
        <v>080-3270-6875</v>
      </c>
      <c r="M13" s="112"/>
      <c r="N13" s="110"/>
      <c r="O13" s="111" t="str">
        <f>IF(O12="","",VLOOKUP(O12,表示電話番号一覧!$C:$F,4,FALSE))</f>
        <v>090-9808-6751</v>
      </c>
      <c r="P13" s="112"/>
      <c r="Q13" s="112"/>
      <c r="R13" s="111" t="str">
        <f>IF(R12="","",VLOOKUP(R12,表示電話番号一覧!$C:$F,4,FALSE))</f>
        <v>080-9802-4443</v>
      </c>
      <c r="S13" s="112"/>
      <c r="T13" s="112"/>
      <c r="U13" s="111" t="str">
        <f>IF(U12="","",VLOOKUP(U12,表示電話番号一覧!$C:$F,4,FALSE))</f>
        <v>080-3606-3448</v>
      </c>
      <c r="V13" s="112"/>
      <c r="W13" s="112"/>
      <c r="X13" s="111" t="str">
        <f>IF(X12="","",VLOOKUP(X12,表示電話番号一覧!$C:$F,4,FALSE))</f>
        <v/>
      </c>
      <c r="Y13" s="113"/>
      <c r="Z13" s="113"/>
      <c r="AA13" s="111" t="str">
        <f>IF(AA12="","",VLOOKUP(AA12,表示電話番号一覧!$C:$F,4,FALSE))</f>
        <v/>
      </c>
    </row>
    <row r="14" spans="2:27">
      <c r="B14" s="10"/>
      <c r="C14" s="10"/>
      <c r="D14" s="10"/>
      <c r="E14" s="10"/>
      <c r="F14" s="104"/>
      <c r="G14" s="101"/>
      <c r="J14" s="112"/>
      <c r="K14" s="110"/>
      <c r="L14" s="113"/>
      <c r="M14" s="112"/>
      <c r="N14" s="110"/>
      <c r="O14" s="113"/>
      <c r="P14" s="112"/>
      <c r="Q14" s="112"/>
      <c r="R14" s="113"/>
      <c r="S14" s="112"/>
      <c r="T14" s="112"/>
      <c r="U14" s="113"/>
      <c r="V14" s="112"/>
      <c r="W14" s="112"/>
      <c r="X14" s="113"/>
      <c r="Y14" s="113"/>
      <c r="Z14" s="113"/>
      <c r="AA14" s="113"/>
    </row>
    <row r="15" spans="2:27">
      <c r="B15" s="10"/>
      <c r="C15" s="10"/>
      <c r="D15" s="10"/>
      <c r="E15" s="10"/>
      <c r="F15" s="104"/>
      <c r="G15" s="101"/>
      <c r="J15" s="112"/>
      <c r="K15" s="110"/>
      <c r="L15" s="112"/>
      <c r="M15" s="112"/>
      <c r="N15" s="111"/>
      <c r="O15" s="107" t="s">
        <v>55</v>
      </c>
      <c r="P15" s="108"/>
      <c r="Q15" s="108"/>
      <c r="R15" s="107" t="s">
        <v>823</v>
      </c>
      <c r="S15" s="108"/>
      <c r="T15" s="108"/>
      <c r="U15" s="107" t="s">
        <v>824</v>
      </c>
      <c r="V15" s="108"/>
      <c r="W15" s="108"/>
      <c r="X15" s="107"/>
      <c r="Y15" s="109"/>
      <c r="Z15" s="106"/>
      <c r="AA15" s="107"/>
    </row>
    <row r="16" spans="2:27">
      <c r="B16" s="136" t="s">
        <v>866</v>
      </c>
      <c r="C16" s="10"/>
      <c r="D16" s="10"/>
      <c r="E16" s="10"/>
      <c r="F16" s="104"/>
      <c r="G16" s="101"/>
      <c r="H16" s="1" t="s">
        <v>867</v>
      </c>
      <c r="J16" s="112"/>
      <c r="K16" s="110"/>
      <c r="L16" s="112" t="str">
        <f>IF(L15="","",VLOOKUP(L15,表示電話番号一覧!$C:$F,4,FALSE))</f>
        <v/>
      </c>
      <c r="M16" s="112"/>
      <c r="N16" s="112"/>
      <c r="O16" s="111" t="str">
        <f>IF(O15="","",VLOOKUP(O15,表示電話番号一覧!$C:$F,4,FALSE))</f>
        <v>080-4373-7684</v>
      </c>
      <c r="P16" s="112"/>
      <c r="Q16" s="112"/>
      <c r="R16" s="111" t="str">
        <f>IF(R15="","",VLOOKUP(R15,表示電話番号一覧!$C:$F,4,FALSE))</f>
        <v>070-3854-6728</v>
      </c>
      <c r="S16" s="112"/>
      <c r="T16" s="112"/>
      <c r="U16" s="111" t="str">
        <f>IF(U15="","",VLOOKUP(U15,表示電話番号一覧!$C:$F,4,FALSE))</f>
        <v>070-3854-6730</v>
      </c>
      <c r="V16" s="112"/>
      <c r="W16" s="112"/>
      <c r="X16" s="111" t="str">
        <f>IF(X15="","",VLOOKUP(X15,表示電話番号一覧!$C:$F,4,FALSE))</f>
        <v/>
      </c>
      <c r="Y16" s="113"/>
      <c r="Z16" s="113"/>
      <c r="AA16" s="111" t="str">
        <f>IF(AA15="","",VLOOKUP(AA15,表示電話番号一覧!$C:$F,4,FALSE))</f>
        <v/>
      </c>
    </row>
    <row r="17" spans="2:27">
      <c r="B17" s="10"/>
      <c r="C17" s="10"/>
      <c r="D17" s="10"/>
      <c r="E17" s="10"/>
      <c r="F17" s="104"/>
      <c r="G17" s="101"/>
      <c r="H17" s="10"/>
      <c r="I17" s="10"/>
      <c r="J17" s="112"/>
      <c r="K17" s="110"/>
      <c r="L17" s="113"/>
      <c r="M17" s="112"/>
      <c r="N17" s="112"/>
      <c r="O17" s="113"/>
      <c r="P17" s="112"/>
      <c r="Q17" s="112"/>
      <c r="R17" s="113"/>
      <c r="S17" s="112"/>
      <c r="T17" s="112"/>
      <c r="U17" s="113"/>
      <c r="V17" s="112"/>
      <c r="W17" s="112"/>
      <c r="X17" s="113"/>
      <c r="Y17" s="113"/>
      <c r="Z17" s="113"/>
      <c r="AA17" s="113"/>
    </row>
    <row r="18" spans="2:27">
      <c r="B18" s="252" t="s">
        <v>96</v>
      </c>
      <c r="C18" s="252"/>
      <c r="D18" s="252"/>
      <c r="E18" s="100"/>
      <c r="F18" s="99"/>
      <c r="G18" s="100"/>
      <c r="H18" s="254" t="s">
        <v>836</v>
      </c>
      <c r="I18" s="254"/>
      <c r="J18" s="108"/>
      <c r="K18" s="109"/>
      <c r="L18" s="107" t="s">
        <v>32</v>
      </c>
      <c r="M18" s="108"/>
      <c r="N18" s="108"/>
      <c r="O18" s="107" t="s">
        <v>36</v>
      </c>
      <c r="P18" s="108"/>
      <c r="Q18" s="108"/>
      <c r="R18" s="107" t="s">
        <v>59</v>
      </c>
      <c r="S18" s="108"/>
      <c r="T18" s="108"/>
      <c r="U18" s="107" t="s">
        <v>113</v>
      </c>
      <c r="V18" s="108"/>
      <c r="W18" s="108"/>
      <c r="X18" s="107" t="s">
        <v>840</v>
      </c>
      <c r="Y18" s="109"/>
      <c r="Z18" s="106"/>
      <c r="AA18" s="107"/>
    </row>
    <row r="19" spans="2:27">
      <c r="B19" s="252" t="str">
        <f>IF(B18="","",VLOOKUP(B18,表示電話番号一覧!$C:$F,4,FALSE))</f>
        <v>090-9025-2358</v>
      </c>
      <c r="C19" s="252"/>
      <c r="D19" s="252"/>
      <c r="E19" s="104"/>
      <c r="F19" s="103"/>
      <c r="G19" s="105"/>
      <c r="H19" s="254" t="str">
        <f>IF(H18="","",VLOOKUP(H18,表示電話番号一覧!$C:$F,4,FALSE))</f>
        <v>080-3566-8951</v>
      </c>
      <c r="I19" s="254"/>
      <c r="J19" s="112"/>
      <c r="K19" s="110"/>
      <c r="L19" s="111" t="str">
        <f>IF(L18="","",VLOOKUP(L18,表示電話番号一覧!$C:$F,4,FALSE))</f>
        <v>080-3451-6474</v>
      </c>
      <c r="M19" s="112"/>
      <c r="N19" s="110"/>
      <c r="O19" s="111" t="str">
        <f>IF(O18="","",VLOOKUP(O18,表示電話番号一覧!$C:$F,4,FALSE))</f>
        <v>080-4373-7695</v>
      </c>
      <c r="P19" s="112"/>
      <c r="Q19" s="112"/>
      <c r="R19" s="111" t="str">
        <f>IF(R18="","",VLOOKUP(R18,表示電話番号一覧!$C:$F,4,FALSE))</f>
        <v>080-3566-8966</v>
      </c>
      <c r="S19" s="112"/>
      <c r="T19" s="112"/>
      <c r="U19" s="111" t="str">
        <f>IF(U18="","",VLOOKUP(U18,表示電話番号一覧!$C:$F,4,FALSE))</f>
        <v>070-3629-7215</v>
      </c>
      <c r="V19" s="112"/>
      <c r="W19" s="112"/>
      <c r="X19" s="111" t="e">
        <f>IF(X18="","",VLOOKUP(X18,表示電話番号一覧!$C:$F,4,FALSE))</f>
        <v>#N/A</v>
      </c>
      <c r="Y19" s="113"/>
      <c r="Z19" s="113"/>
      <c r="AA19" s="111" t="str">
        <f>IF(AA18="","",VLOOKUP(AA18,表示電話番号一覧!$C:$F,4,FALSE))</f>
        <v/>
      </c>
    </row>
    <row r="20" spans="2:27">
      <c r="B20" s="10"/>
      <c r="C20" s="135"/>
      <c r="D20" s="103"/>
      <c r="F20" s="103"/>
      <c r="G20" s="101"/>
      <c r="H20" s="10"/>
      <c r="I20" s="10"/>
      <c r="J20" s="112"/>
      <c r="K20" s="110"/>
      <c r="L20" s="113"/>
      <c r="M20" s="112"/>
      <c r="N20" s="110"/>
      <c r="O20" s="113"/>
      <c r="P20" s="112"/>
      <c r="Q20" s="112"/>
      <c r="R20" s="113"/>
      <c r="S20" s="112"/>
      <c r="T20" s="112"/>
      <c r="U20" s="113"/>
      <c r="V20" s="112"/>
      <c r="W20" s="112"/>
      <c r="X20" s="113"/>
      <c r="Y20" s="113"/>
      <c r="Z20" s="113"/>
      <c r="AA20" s="113"/>
    </row>
    <row r="21" spans="2:27">
      <c r="B21" s="10"/>
      <c r="C21" s="135"/>
      <c r="D21" s="103"/>
      <c r="F21" s="103"/>
      <c r="G21" s="101"/>
      <c r="J21" s="112"/>
      <c r="K21" s="110"/>
      <c r="L21" s="113"/>
      <c r="M21" s="112"/>
      <c r="N21" s="109"/>
      <c r="O21" s="107" t="s">
        <v>43</v>
      </c>
      <c r="P21" s="108"/>
      <c r="Q21" s="108"/>
      <c r="R21" s="107" t="s">
        <v>871</v>
      </c>
      <c r="S21" s="108"/>
      <c r="T21" s="108"/>
      <c r="U21" s="107" t="s">
        <v>46</v>
      </c>
      <c r="V21" s="108"/>
      <c r="W21" s="108"/>
      <c r="X21" s="107" t="s">
        <v>86</v>
      </c>
      <c r="Y21" s="109"/>
      <c r="Z21" s="106"/>
      <c r="AA21" s="107" t="s">
        <v>841</v>
      </c>
    </row>
    <row r="22" spans="2:27">
      <c r="B22" s="10"/>
      <c r="C22" s="135"/>
      <c r="D22" s="103"/>
      <c r="F22" s="103"/>
      <c r="G22" s="101"/>
      <c r="J22" s="112"/>
      <c r="K22" s="110"/>
      <c r="L22" s="113"/>
      <c r="M22" s="112"/>
      <c r="N22" s="112"/>
      <c r="O22" s="111" t="str">
        <f>IF(O21="","",VLOOKUP(O21,表示電話番号一覧!$C:$F,4,FALSE))</f>
        <v>080-4581-1553</v>
      </c>
      <c r="P22" s="112"/>
      <c r="Q22" s="112"/>
      <c r="R22" s="111" t="str">
        <f>IF(R21="","",VLOOKUP(R21,表示電話番号一覧!$C:$F,4,FALSE))</f>
        <v>080-3566-8974</v>
      </c>
      <c r="S22" s="112"/>
      <c r="T22" s="112"/>
      <c r="U22" s="111" t="str">
        <f>IF(U21="","",VLOOKUP(U21,表示電話番号一覧!$C:$F,4,FALSE))</f>
        <v>080-4373-7793</v>
      </c>
      <c r="V22" s="112"/>
      <c r="W22" s="112"/>
      <c r="X22" s="111" t="str">
        <f>IF(X21="","",VLOOKUP(X21,表示電話番号一覧!$C:$F,4,FALSE))</f>
        <v>070-3541-0263</v>
      </c>
      <c r="Y22" s="113"/>
      <c r="Z22" s="113"/>
      <c r="AA22" s="111" t="str">
        <f>IF(AA21="","",VLOOKUP(AA21,表示電話番号一覧!$C:$F,4,FALSE))</f>
        <v>070-3843-4639</v>
      </c>
    </row>
    <row r="23" spans="2:27">
      <c r="B23" s="10"/>
      <c r="C23" s="135"/>
      <c r="D23" s="103"/>
      <c r="F23" s="103"/>
      <c r="G23" s="101"/>
      <c r="J23" s="112"/>
      <c r="K23" s="110"/>
      <c r="L23" s="113"/>
      <c r="M23" s="112"/>
      <c r="N23" s="112"/>
      <c r="O23" s="113"/>
      <c r="P23" s="112"/>
      <c r="Q23" s="112"/>
      <c r="R23" s="113"/>
      <c r="S23" s="112"/>
      <c r="T23" s="112"/>
      <c r="U23" s="113"/>
      <c r="V23" s="112"/>
      <c r="W23" s="112"/>
      <c r="X23" s="113"/>
      <c r="Y23" s="113"/>
      <c r="Z23" s="113"/>
      <c r="AA23" s="113"/>
    </row>
    <row r="24" spans="2:27">
      <c r="B24" s="10"/>
      <c r="C24" s="135"/>
      <c r="D24" s="103"/>
      <c r="F24" s="133"/>
      <c r="G24" s="134"/>
      <c r="J24" s="112"/>
      <c r="K24" s="110"/>
      <c r="L24" s="112"/>
      <c r="M24" s="112"/>
      <c r="N24" s="108"/>
      <c r="O24" s="107" t="s">
        <v>842</v>
      </c>
      <c r="P24" s="108"/>
      <c r="Q24" s="108"/>
      <c r="R24" s="107" t="s">
        <v>20</v>
      </c>
      <c r="S24" s="108"/>
      <c r="T24" s="108"/>
      <c r="U24" s="107" t="s">
        <v>54</v>
      </c>
      <c r="V24" s="108"/>
      <c r="W24" s="108"/>
      <c r="X24" s="107" t="s">
        <v>28</v>
      </c>
      <c r="Y24" s="109"/>
      <c r="Z24" s="106"/>
      <c r="AA24" s="107"/>
    </row>
    <row r="25" spans="2:27">
      <c r="B25" s="10"/>
      <c r="C25" s="135"/>
      <c r="D25" s="104"/>
      <c r="F25" s="133"/>
      <c r="G25" s="134"/>
      <c r="J25" s="112"/>
      <c r="K25" s="110"/>
      <c r="L25" s="112"/>
      <c r="M25" s="112"/>
      <c r="N25" s="114"/>
      <c r="O25" s="111" t="str">
        <f>IF(O24="","",VLOOKUP(O24,表示電話番号一覧!$C:$F,4,FALSE))</f>
        <v>070-2165-7714</v>
      </c>
      <c r="P25" s="112"/>
      <c r="Q25" s="112"/>
      <c r="R25" s="111" t="str">
        <f>IF(R24="","",VLOOKUP(R24,表示電話番号一覧!$C:$F,4,FALSE))</f>
        <v>080-3566-8978</v>
      </c>
      <c r="S25" s="112"/>
      <c r="T25" s="112"/>
      <c r="U25" s="111" t="str">
        <f>IF(U24="","",VLOOKUP(U24,表示電話番号一覧!$C:$F,4,FALSE))</f>
        <v>070-4201-6852</v>
      </c>
      <c r="V25" s="112"/>
      <c r="W25" s="112"/>
      <c r="X25" s="111" t="str">
        <f>IF(X24="","",VLOOKUP(X24,表示電話番号一覧!$C:$F,4,FALSE))</f>
        <v>090-2402-7362</v>
      </c>
      <c r="Y25" s="113"/>
      <c r="Z25" s="113"/>
      <c r="AA25" s="111" t="str">
        <f>IF(AA24="","",VLOOKUP(AA24,表示電話番号一覧!$C:$F,4,FALSE))</f>
        <v/>
      </c>
    </row>
    <row r="26" spans="2:27">
      <c r="B26" s="10"/>
      <c r="C26" s="135"/>
      <c r="D26" s="104"/>
      <c r="F26" s="104"/>
      <c r="G26" s="101"/>
      <c r="J26" s="112"/>
      <c r="K26" s="110"/>
      <c r="L26" s="113"/>
      <c r="M26" s="112"/>
      <c r="N26" s="110"/>
      <c r="O26" s="113"/>
      <c r="P26" s="112"/>
      <c r="Q26" s="112"/>
      <c r="R26" s="113"/>
      <c r="S26" s="112"/>
      <c r="T26" s="112"/>
      <c r="U26" s="113"/>
      <c r="V26" s="112"/>
      <c r="W26" s="112"/>
      <c r="X26" s="113"/>
      <c r="Y26" s="113"/>
      <c r="Z26" s="113"/>
      <c r="AA26" s="113"/>
    </row>
    <row r="27" spans="2:27">
      <c r="B27" s="10"/>
      <c r="C27" s="135"/>
      <c r="D27" s="104"/>
      <c r="F27" s="104"/>
      <c r="G27" s="101"/>
      <c r="J27" s="112"/>
      <c r="K27" s="109"/>
      <c r="L27" s="107" t="s">
        <v>29</v>
      </c>
      <c r="M27" s="108"/>
      <c r="N27" s="109"/>
      <c r="O27" s="107" t="s">
        <v>847</v>
      </c>
      <c r="P27" s="108"/>
      <c r="Q27" s="108"/>
      <c r="R27" s="107" t="s">
        <v>848</v>
      </c>
      <c r="S27" s="108"/>
      <c r="T27" s="108"/>
      <c r="U27" s="147" t="s">
        <v>849</v>
      </c>
      <c r="V27" s="108"/>
      <c r="W27" s="108"/>
      <c r="X27" s="107" t="s">
        <v>850</v>
      </c>
      <c r="Y27" s="109"/>
      <c r="Z27" s="106"/>
      <c r="AA27" s="107"/>
    </row>
    <row r="28" spans="2:27">
      <c r="B28" s="10"/>
      <c r="C28" s="135"/>
      <c r="D28" s="104"/>
      <c r="F28" s="104"/>
      <c r="G28" s="101"/>
      <c r="J28" s="112"/>
      <c r="K28" s="112"/>
      <c r="L28" s="111" t="str">
        <f>IF(L27="","",VLOOKUP(L27,表示電話番号一覧!$C:$F,4,FALSE))</f>
        <v>090-6033-7021</v>
      </c>
      <c r="M28" s="112"/>
      <c r="N28" s="138"/>
      <c r="O28" s="111" t="str">
        <f>IF(O27="","",VLOOKUP(O27,表示電話番号一覧!$C:$F,4,FALSE))</f>
        <v>080-3566-8975</v>
      </c>
      <c r="P28" s="112"/>
      <c r="Q28" s="112"/>
      <c r="R28" s="111" t="str">
        <f>IF(R27="","",VLOOKUP(R27,表示電話番号一覧!$C:$F,4,FALSE))</f>
        <v>080-4106-8296</v>
      </c>
      <c r="S28" s="112"/>
      <c r="T28" s="112"/>
      <c r="U28" s="111" t="str">
        <f>IF(U27="","",VLOOKUP(U27,表示電話番号一覧!$C:$F,4,FALSE))</f>
        <v>080-3566-8958</v>
      </c>
      <c r="V28" s="112"/>
      <c r="W28" s="112"/>
      <c r="X28" s="111" t="str">
        <f>IF(X27="","",VLOOKUP(X27,表示電話番号一覧!$C:$F,4,FALSE))</f>
        <v>080-4373-8694</v>
      </c>
      <c r="Y28" s="113"/>
      <c r="Z28" s="113"/>
      <c r="AA28" s="111" t="str">
        <f>IF(AA27="","",VLOOKUP(AA27,表示電話番号一覧!$C:$F,4,FALSE))</f>
        <v/>
      </c>
    </row>
    <row r="29" spans="2:27">
      <c r="B29" s="10"/>
      <c r="C29" s="135"/>
      <c r="D29" s="104"/>
      <c r="F29" s="104"/>
      <c r="G29" s="101"/>
      <c r="J29" s="1"/>
      <c r="K29" s="1"/>
      <c r="M29" s="113"/>
      <c r="N29" s="110"/>
      <c r="O29" s="113"/>
      <c r="P29" s="112"/>
      <c r="Q29" s="112"/>
      <c r="R29" s="113"/>
      <c r="S29" s="112"/>
      <c r="T29" s="112"/>
      <c r="U29" s="113"/>
      <c r="V29" s="112"/>
      <c r="W29" s="112"/>
      <c r="X29" s="113"/>
      <c r="Y29" s="112"/>
      <c r="Z29" s="112"/>
      <c r="AA29" s="113"/>
    </row>
    <row r="30" spans="2:27">
      <c r="B30" s="10"/>
      <c r="C30" s="135"/>
      <c r="D30" s="104"/>
      <c r="F30" s="104"/>
      <c r="G30" s="101"/>
      <c r="J30" s="1"/>
      <c r="K30" s="1"/>
      <c r="M30" s="113"/>
      <c r="N30" s="109"/>
      <c r="O30" s="107" t="s">
        <v>844</v>
      </c>
      <c r="P30" s="108"/>
      <c r="Q30" s="108"/>
      <c r="R30" s="107" t="s">
        <v>845</v>
      </c>
      <c r="S30" s="108"/>
      <c r="T30" s="108"/>
      <c r="U30" s="107" t="s">
        <v>846</v>
      </c>
      <c r="V30" s="108"/>
      <c r="W30" s="108"/>
      <c r="X30" s="107" t="s">
        <v>843</v>
      </c>
      <c r="Y30" s="109"/>
      <c r="Z30" s="106"/>
      <c r="AA30" s="107"/>
    </row>
    <row r="31" spans="2:27">
      <c r="B31" s="10"/>
      <c r="C31" s="135"/>
      <c r="D31" s="104"/>
      <c r="F31" s="104"/>
      <c r="G31" s="101"/>
      <c r="J31" s="1"/>
      <c r="K31" s="1"/>
      <c r="M31" s="112"/>
      <c r="N31" s="113"/>
      <c r="O31" s="111" t="str">
        <f>IF(O30="","",VLOOKUP(O30,表示電話番号一覧!$C:$F,4,FALSE))</f>
        <v>080-3446-7228</v>
      </c>
      <c r="P31" s="112"/>
      <c r="Q31" s="114"/>
      <c r="R31" s="111" t="str">
        <f>IF(R30="","",VLOOKUP(R30,表示電話番号一覧!$C:$F,4,FALSE))</f>
        <v>070-3601-5755</v>
      </c>
      <c r="S31" s="112"/>
      <c r="T31" s="112"/>
      <c r="U31" s="111" t="str">
        <f>IF(U30="","",VLOOKUP(U30,表示電話番号一覧!$C:$F,4,FALSE))</f>
        <v>070-3609-3812</v>
      </c>
      <c r="V31" s="112"/>
      <c r="W31" s="112"/>
      <c r="X31" s="111" t="str">
        <f>IF(X30="","",VLOOKUP(X30,表示電話番号一覧!$C:$F,4,FALSE))</f>
        <v>080-3566-8955</v>
      </c>
      <c r="Y31" s="112"/>
      <c r="Z31" s="112"/>
      <c r="AA31" s="111" t="str">
        <f>IF(AA30="","",VLOOKUP(AA30,表示電話番号一覧!$C:$F,4,FALSE))</f>
        <v/>
      </c>
    </row>
    <row r="32" spans="2:27">
      <c r="B32" s="10"/>
      <c r="C32" s="135"/>
      <c r="D32" s="104"/>
      <c r="F32" s="104"/>
      <c r="G32" s="101"/>
      <c r="J32" s="1"/>
      <c r="K32" s="1"/>
      <c r="M32" s="1"/>
      <c r="N32" s="1"/>
      <c r="P32" s="112"/>
      <c r="Q32" s="110"/>
      <c r="R32" s="113"/>
      <c r="S32" s="112"/>
      <c r="T32" s="112"/>
      <c r="U32" s="113"/>
      <c r="V32" s="112"/>
      <c r="W32" s="112"/>
      <c r="X32" s="113"/>
      <c r="Y32" s="113"/>
      <c r="Z32" s="113"/>
      <c r="AA32" s="113"/>
    </row>
    <row r="33" spans="2:27">
      <c r="B33" s="10"/>
      <c r="C33" s="135"/>
      <c r="D33" s="104"/>
      <c r="F33" s="104"/>
      <c r="G33" s="101"/>
      <c r="K33" s="125"/>
      <c r="L33" s="3"/>
      <c r="M33" s="125"/>
      <c r="N33" s="125"/>
      <c r="P33" s="113"/>
      <c r="Q33" s="111"/>
      <c r="R33" s="107" t="s">
        <v>23</v>
      </c>
      <c r="S33" s="108"/>
      <c r="T33" s="108"/>
      <c r="U33" s="107" t="s">
        <v>137</v>
      </c>
      <c r="V33" s="108"/>
      <c r="W33" s="108"/>
      <c r="X33" s="115" t="s">
        <v>94</v>
      </c>
      <c r="Y33" s="109"/>
      <c r="Z33" s="106"/>
      <c r="AA33" s="107"/>
    </row>
    <row r="34" spans="2:27">
      <c r="B34" s="10"/>
      <c r="C34" s="135"/>
      <c r="D34" s="104"/>
      <c r="F34" s="104"/>
      <c r="G34" s="101"/>
      <c r="K34" s="125"/>
      <c r="L34" s="3"/>
      <c r="M34" s="125"/>
      <c r="N34" s="125"/>
      <c r="P34" s="113"/>
      <c r="Q34" s="113"/>
      <c r="R34" s="111" t="str">
        <f>IF(R33="","",VLOOKUP(R33,表示電話番号一覧!$C:$F,4,FALSE))</f>
        <v>080-3566-8957</v>
      </c>
      <c r="S34" s="112"/>
      <c r="T34" s="112"/>
      <c r="U34" s="111" t="e">
        <f>IF(U33="","",VLOOKUP(U33,表示電話番号一覧!$C:$F,4,FALSE))</f>
        <v>#N/A</v>
      </c>
      <c r="V34" s="112"/>
      <c r="W34" s="112"/>
      <c r="X34" s="111" t="str">
        <f>IF(X33="","",VLOOKUP(X33,表示電話番号一覧!$C:$F,4,FALSE))</f>
        <v>070-3533-7393</v>
      </c>
      <c r="Y34" s="113"/>
      <c r="Z34" s="113"/>
      <c r="AA34" s="111" t="str">
        <f>IF(AA33="","",VLOOKUP(AA33,表示電話番号一覧!$C:$F,4,FALSE))</f>
        <v/>
      </c>
    </row>
    <row r="35" spans="2:27">
      <c r="B35" s="10"/>
      <c r="C35" s="135"/>
      <c r="D35" s="104"/>
      <c r="F35" s="104"/>
      <c r="G35" s="101"/>
      <c r="L35" s="10"/>
      <c r="O35" s="10"/>
      <c r="R35" s="10"/>
      <c r="U35" s="10"/>
      <c r="X35" s="10"/>
      <c r="AA35" s="10"/>
    </row>
    <row r="36" spans="2:27">
      <c r="B36" s="10"/>
      <c r="C36" s="135"/>
      <c r="D36" s="103"/>
      <c r="F36" s="104"/>
      <c r="G36" s="101"/>
      <c r="J36" s="122"/>
      <c r="K36" s="118"/>
      <c r="L36" s="117" t="s">
        <v>139</v>
      </c>
      <c r="M36" s="118"/>
      <c r="N36" s="116"/>
      <c r="O36" s="117" t="s">
        <v>851</v>
      </c>
      <c r="P36" s="118"/>
      <c r="Q36" s="118"/>
      <c r="R36" s="117" t="s">
        <v>865</v>
      </c>
      <c r="S36" s="118"/>
      <c r="T36" s="118"/>
      <c r="U36" s="117" t="s">
        <v>864</v>
      </c>
      <c r="V36" s="118"/>
      <c r="W36" s="118"/>
      <c r="X36" s="117"/>
      <c r="Y36" s="119"/>
      <c r="Z36" s="116"/>
      <c r="AA36" s="117"/>
    </row>
    <row r="37" spans="2:27">
      <c r="B37" s="10"/>
      <c r="C37" s="135"/>
      <c r="D37" s="103"/>
      <c r="F37" s="103"/>
      <c r="G37" s="101"/>
      <c r="H37" s="1" t="s">
        <v>282</v>
      </c>
      <c r="J37" s="122"/>
      <c r="K37" s="120"/>
      <c r="L37" s="121" t="str">
        <f>IF(L36="","",VLOOKUP(L36,表示電話番号一覧!$C:$F,4,FALSE))</f>
        <v>080-9819-8256</v>
      </c>
      <c r="M37" s="122"/>
      <c r="N37" s="122"/>
      <c r="O37" s="117" t="str">
        <f>IF(O36="","",VLOOKUP(O36,表示電話番号一覧!$C:$F,4,FALSE))</f>
        <v>080-4584-2248</v>
      </c>
      <c r="P37" s="122"/>
      <c r="Q37" s="122"/>
      <c r="R37" s="121" t="e">
        <f>IF(R36="","",VLOOKUP(R36,表示電話番号一覧!$C:$F,4,FALSE))</f>
        <v>#N/A</v>
      </c>
      <c r="S37" s="122"/>
      <c r="T37" s="122"/>
      <c r="U37" s="121" t="str">
        <f>IF(U36="","",VLOOKUP(U36,表示電話番号一覧!$C:$F,4,FALSE))</f>
        <v>090-1047-0938</v>
      </c>
      <c r="V37" s="122"/>
      <c r="W37" s="122"/>
      <c r="X37" s="121" t="str">
        <f>IF(X36="","",VLOOKUP(X36,表示電話番号一覧!$C:$F,4,FALSE))</f>
        <v/>
      </c>
      <c r="Y37" s="123"/>
      <c r="Z37" s="123"/>
      <c r="AA37" s="121" t="str">
        <f>IF(AA36="","",VLOOKUP(AA36,表示電話番号一覧!$C:$F,4,FALSE))</f>
        <v/>
      </c>
    </row>
    <row r="38" spans="2:27">
      <c r="B38" s="10"/>
      <c r="C38" s="135"/>
      <c r="D38" s="103"/>
      <c r="F38" s="103"/>
      <c r="G38" s="101"/>
      <c r="H38" s="10"/>
      <c r="I38" s="10"/>
      <c r="J38" s="122"/>
      <c r="K38" s="120"/>
      <c r="L38" s="123"/>
      <c r="M38" s="122"/>
      <c r="N38" s="122"/>
      <c r="O38" s="123"/>
      <c r="P38" s="122"/>
      <c r="Q38" s="122"/>
      <c r="R38" s="123"/>
      <c r="S38" s="122"/>
      <c r="T38" s="122"/>
      <c r="U38" s="123"/>
      <c r="V38" s="122"/>
      <c r="W38" s="122"/>
      <c r="X38" s="123"/>
      <c r="Y38" s="123"/>
      <c r="Z38" s="123"/>
      <c r="AA38" s="123"/>
    </row>
    <row r="39" spans="2:27">
      <c r="B39" s="10"/>
      <c r="C39" s="135"/>
      <c r="D39" s="103"/>
      <c r="F39" s="103"/>
      <c r="G39" s="102"/>
      <c r="H39" s="253" t="s">
        <v>860</v>
      </c>
      <c r="I39" s="253"/>
      <c r="J39" s="121"/>
      <c r="K39" s="119"/>
      <c r="L39" s="117" t="s">
        <v>852</v>
      </c>
      <c r="M39" s="118"/>
      <c r="N39" s="116"/>
      <c r="O39" s="117" t="s">
        <v>853</v>
      </c>
      <c r="P39" s="118"/>
      <c r="Q39" s="118"/>
      <c r="R39" s="117" t="s">
        <v>854</v>
      </c>
      <c r="S39" s="118"/>
      <c r="T39" s="118"/>
      <c r="U39" s="117" t="s">
        <v>855</v>
      </c>
      <c r="V39" s="118"/>
      <c r="W39" s="118"/>
      <c r="X39" s="117" t="s">
        <v>856</v>
      </c>
      <c r="Y39" s="119"/>
      <c r="Z39" s="116"/>
      <c r="AA39" s="117" t="s">
        <v>862</v>
      </c>
    </row>
    <row r="40" spans="2:27">
      <c r="B40" s="10"/>
      <c r="C40" s="135"/>
      <c r="D40" s="103"/>
      <c r="F40" s="103"/>
      <c r="G40" s="103"/>
      <c r="H40" s="253" t="str">
        <f>IF(H39="","",VLOOKUP(H39,表示電話番号一覧!$C:$F,4,FALSE))</f>
        <v>080-4905-6111</v>
      </c>
      <c r="I40" s="253"/>
      <c r="J40" s="122"/>
      <c r="K40" s="120"/>
      <c r="L40" s="121" t="str">
        <f>IF(L39="","",VLOOKUP(L39,表示電話番号一覧!$C:$F,4,FALSE))</f>
        <v>090-4241-0567</v>
      </c>
      <c r="M40" s="122"/>
      <c r="N40" s="122"/>
      <c r="O40" s="117" t="str">
        <f>IF(O39="","",VLOOKUP(O39,表示電話番号一覧!$C:$F,4,FALSE))</f>
        <v>090-4855-2641</v>
      </c>
      <c r="P40" s="122"/>
      <c r="Q40" s="122"/>
      <c r="R40" s="121" t="str">
        <f>IF(R39="","",VLOOKUP(R39,表示電話番号一覧!$C:$F,4,FALSE))</f>
        <v>090-4938-1866</v>
      </c>
      <c r="S40" s="122"/>
      <c r="T40" s="122"/>
      <c r="U40" s="121" t="str">
        <f>IF(U39="","",VLOOKUP(U39,表示電話番号一覧!$C:$F,4,FALSE))</f>
        <v>090-9855-5534</v>
      </c>
      <c r="V40" s="122"/>
      <c r="W40" s="122"/>
      <c r="X40" s="121" t="e">
        <f>IF(X39="","",VLOOKUP(X39,表示電話番号一覧!$C:$F,4,FALSE))</f>
        <v>#N/A</v>
      </c>
      <c r="Y40" s="123"/>
      <c r="Z40" s="123"/>
      <c r="AA40" s="121" t="str">
        <f>IF(AA39="","",VLOOKUP(AA39,表示電話番号一覧!$C:$F,4,FALSE))</f>
        <v>080-2333-4494</v>
      </c>
    </row>
    <row r="41" spans="2:27">
      <c r="B41" s="10"/>
      <c r="C41" s="135"/>
      <c r="D41" s="103"/>
      <c r="F41" s="10"/>
      <c r="G41" s="10"/>
      <c r="J41" s="122"/>
      <c r="K41" s="120"/>
      <c r="L41" s="123"/>
      <c r="M41" s="122"/>
      <c r="N41" s="122"/>
      <c r="O41" s="123"/>
      <c r="P41" s="122"/>
      <c r="Q41" s="122"/>
      <c r="R41" s="123"/>
      <c r="S41" s="122"/>
      <c r="T41" s="122"/>
      <c r="U41" s="123"/>
      <c r="V41" s="122"/>
      <c r="W41" s="122"/>
      <c r="X41" s="123"/>
      <c r="Y41" s="123"/>
      <c r="Z41" s="123"/>
      <c r="AA41" s="123"/>
    </row>
    <row r="42" spans="2:27">
      <c r="B42" s="10"/>
      <c r="C42" s="135"/>
      <c r="D42" s="103"/>
      <c r="F42" s="4"/>
      <c r="G42" s="5"/>
      <c r="J42" s="122"/>
      <c r="K42" s="119"/>
      <c r="L42" s="117" t="s">
        <v>857</v>
      </c>
      <c r="M42" s="118"/>
      <c r="N42" s="116"/>
      <c r="O42" s="117" t="s">
        <v>869</v>
      </c>
      <c r="P42" s="118"/>
      <c r="Q42" s="118"/>
      <c r="R42" s="117" t="s">
        <v>858</v>
      </c>
      <c r="S42" s="118"/>
      <c r="T42" s="118"/>
      <c r="U42" s="117" t="s">
        <v>859</v>
      </c>
      <c r="V42" s="118"/>
      <c r="W42" s="118"/>
      <c r="X42" s="117"/>
      <c r="Y42" s="119"/>
      <c r="Z42" s="116"/>
      <c r="AA42" s="117"/>
    </row>
    <row r="43" spans="2:27">
      <c r="B43" s="10"/>
      <c r="C43" s="135"/>
      <c r="D43" s="104"/>
      <c r="E43" s="139" t="s">
        <v>108</v>
      </c>
      <c r="J43" s="122"/>
      <c r="K43" s="124"/>
      <c r="L43" s="121" t="str">
        <f>IF(L42="","",VLOOKUP(L42,表示電話番号一覧!$C:$F,4,FALSE))</f>
        <v>090-3238-0679</v>
      </c>
      <c r="M43" s="122"/>
      <c r="N43" s="142"/>
      <c r="O43" s="117" t="e">
        <f>IF(O42="","",VLOOKUP(O42,表示電話番号一覧!$C:$F,4,FALSE))</f>
        <v>#N/A</v>
      </c>
      <c r="P43" s="122"/>
      <c r="Q43" s="122"/>
      <c r="R43" s="121" t="str">
        <f>IF(R42="","",VLOOKUP(R42,表示電話番号一覧!$C:$F,4,FALSE))</f>
        <v>080-2053-5731</v>
      </c>
      <c r="S43" s="122"/>
      <c r="T43" s="122"/>
      <c r="U43" s="121" t="str">
        <f>IF(U42="","",VLOOKUP(U42,表示電話番号一覧!$C:$F,4,FALSE))</f>
        <v>090-1213-2144</v>
      </c>
      <c r="V43" s="122"/>
      <c r="W43" s="122"/>
      <c r="X43" s="121" t="str">
        <f>IF(X42="","",VLOOKUP(X42,表示電話番号一覧!$C:$F,4,FALSE))</f>
        <v/>
      </c>
      <c r="Y43" s="123"/>
      <c r="Z43" s="123"/>
      <c r="AA43" s="121" t="str">
        <f>IF(AA42="","",VLOOKUP(AA42,表示電話番号一覧!$C:$F,4,FALSE))</f>
        <v/>
      </c>
    </row>
    <row r="44" spans="2:27">
      <c r="B44" s="10"/>
      <c r="C44" s="135"/>
      <c r="D44" s="104"/>
      <c r="E44" s="140" t="s">
        <v>115</v>
      </c>
      <c r="J44" s="130"/>
      <c r="K44" s="143"/>
      <c r="L44" s="141"/>
      <c r="M44" s="3"/>
      <c r="O44" s="10"/>
      <c r="P44" s="1"/>
      <c r="R44" s="10"/>
      <c r="S44" s="1"/>
      <c r="U44" s="10"/>
      <c r="V44" s="1"/>
      <c r="X44" s="10"/>
    </row>
    <row r="45" spans="2:27">
      <c r="B45" s="10"/>
      <c r="C45" s="135"/>
      <c r="D45" s="104"/>
      <c r="E45" s="140" t="s">
        <v>116</v>
      </c>
      <c r="J45" s="130"/>
      <c r="K45" s="126"/>
      <c r="L45" s="127" t="s">
        <v>19</v>
      </c>
      <c r="M45" s="128"/>
      <c r="N45" s="128"/>
      <c r="O45" s="127" t="s">
        <v>105</v>
      </c>
      <c r="P45" s="128"/>
      <c r="Q45" s="128"/>
      <c r="R45" s="127" t="s">
        <v>138</v>
      </c>
      <c r="S45" s="128"/>
      <c r="T45" s="128"/>
      <c r="U45" s="127" t="s">
        <v>440</v>
      </c>
      <c r="V45" s="126"/>
      <c r="W45" s="129"/>
      <c r="X45" s="127" t="s">
        <v>819</v>
      </c>
      <c r="Y45" s="126"/>
      <c r="Z45" s="129"/>
      <c r="AA45" s="127" t="s">
        <v>820</v>
      </c>
    </row>
    <row r="46" spans="2:27">
      <c r="B46" s="10"/>
      <c r="C46" s="135"/>
      <c r="D46" s="104"/>
      <c r="J46" s="130"/>
      <c r="K46" s="130"/>
      <c r="L46" s="131" t="str">
        <f>IF(L45="","",VLOOKUP(L45,表示電話番号一覧!$C:$F,4,FALSE))</f>
        <v>080-3566-8956</v>
      </c>
      <c r="M46" s="130"/>
      <c r="N46" s="130"/>
      <c r="O46" s="131" t="str">
        <f>IF(O45="","",VLOOKUP(O45,表示電話番号一覧!$C:$F,4,FALSE))</f>
        <v>070-3547-4367</v>
      </c>
      <c r="P46" s="130"/>
      <c r="Q46" s="130"/>
      <c r="R46" s="131" t="str">
        <f>IF(R45="","",VLOOKUP(R45,表示電話番号一覧!$C:$F,4,FALSE))</f>
        <v>070-3852-1867</v>
      </c>
      <c r="S46" s="130"/>
      <c r="T46" s="130"/>
      <c r="U46" s="131" t="str">
        <f>IF(U45="","",VLOOKUP(U45,表示電話番号一覧!$C:$F,4,FALSE))</f>
        <v>070-3864-2675</v>
      </c>
      <c r="V46" s="132"/>
      <c r="W46" s="132"/>
      <c r="X46" s="131" t="e">
        <f>IF(X45="","",VLOOKUP(X45,表示電話番号一覧!$C:$F,4,FALSE))</f>
        <v>#N/A</v>
      </c>
      <c r="Y46" s="132"/>
      <c r="Z46" s="132"/>
      <c r="AA46" s="131" t="e">
        <f>IF(AA45="","",VLOOKUP(AA45,表示電話番号一覧!$C:$F,4,FALSE))</f>
        <v>#N/A</v>
      </c>
    </row>
    <row r="47" spans="2:27">
      <c r="B47" s="252" t="s">
        <v>102</v>
      </c>
      <c r="C47" s="252"/>
      <c r="D47" s="252"/>
      <c r="E47" s="252"/>
      <c r="F47" s="252"/>
      <c r="G47" s="252"/>
      <c r="H47" s="252"/>
      <c r="L47" s="10"/>
      <c r="O47" s="10"/>
      <c r="R47" s="10"/>
      <c r="U47" s="10"/>
      <c r="X47" s="10"/>
      <c r="AA47" s="10"/>
    </row>
    <row r="48" spans="2:27">
      <c r="B48" s="252" t="s">
        <v>103</v>
      </c>
      <c r="C48" s="252"/>
      <c r="D48" s="252"/>
      <c r="E48" s="252"/>
      <c r="F48" s="252"/>
      <c r="G48" s="252"/>
      <c r="H48" s="252"/>
      <c r="J48" s="4" t="s">
        <v>110</v>
      </c>
      <c r="K48" s="144"/>
      <c r="O48" s="10"/>
      <c r="R48" s="10"/>
      <c r="U48" s="10"/>
      <c r="X48" s="10"/>
      <c r="AA48" s="10"/>
    </row>
    <row r="49" spans="10:27">
      <c r="J49" s="145" t="s">
        <v>111</v>
      </c>
      <c r="K49" s="144"/>
      <c r="O49" s="10"/>
      <c r="R49" s="10"/>
      <c r="U49" s="10"/>
      <c r="X49" s="10"/>
      <c r="AA49" s="10"/>
    </row>
    <row r="50" spans="10:27">
      <c r="J50" s="145" t="s">
        <v>107</v>
      </c>
      <c r="K50" s="144"/>
      <c r="O50" s="10"/>
      <c r="R50" s="10"/>
      <c r="U50" s="10"/>
      <c r="X50" s="10"/>
      <c r="AA50" s="10"/>
    </row>
  </sheetData>
  <mergeCells count="10">
    <mergeCell ref="B18:D18"/>
    <mergeCell ref="B19:D19"/>
    <mergeCell ref="B47:H47"/>
    <mergeCell ref="B48:H48"/>
    <mergeCell ref="H3:I3"/>
    <mergeCell ref="H4:I4"/>
    <mergeCell ref="H18:I18"/>
    <mergeCell ref="H19:I19"/>
    <mergeCell ref="H39:I39"/>
    <mergeCell ref="H40:I40"/>
  </mergeCells>
  <phoneticPr fontId="18"/>
  <pageMargins left="0.15748031496062992" right="0.15748031496062992" top="0.35433070866141736" bottom="0.15748031496062992" header="0.31496062992125984" footer="0.15748031496062992"/>
  <pageSetup paperSize="9" scale="91" orientation="landscape" r:id="rId1"/>
  <headerFooter>
    <oddHeader>&amp;C&amp;"-,太字"&amp;16エムエムインターナショナル　連絡網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B1:AF53"/>
  <sheetViews>
    <sheetView view="pageBreakPreview" topLeftCell="A19" zoomScaleNormal="85" zoomScaleSheetLayoutView="100" workbookViewId="0">
      <selection activeCell="N51" sqref="N51:N52"/>
    </sheetView>
  </sheetViews>
  <sheetFormatPr defaultColWidth="9" defaultRowHeight="13.5"/>
  <cols>
    <col min="1" max="1" width="2" style="1" customWidth="1"/>
    <col min="2" max="2" width="10.5" style="1" customWidth="1"/>
    <col min="3" max="6" width="2.625" style="1" customWidth="1"/>
    <col min="7" max="7" width="7.875" style="1" customWidth="1"/>
    <col min="8" max="8" width="7.75" style="1" customWidth="1"/>
    <col min="9" max="10" width="1.25" style="10" customWidth="1"/>
    <col min="11" max="11" width="13.625" style="1" customWidth="1"/>
    <col min="12" max="13" width="1.25" style="10" customWidth="1"/>
    <col min="14" max="14" width="13.625" style="1" customWidth="1"/>
    <col min="15" max="16" width="1.25" style="10" customWidth="1"/>
    <col min="17" max="17" width="13.625" style="1" customWidth="1"/>
    <col min="18" max="19" width="1.25" style="10" customWidth="1"/>
    <col min="20" max="20" width="13.625" style="1" customWidth="1"/>
    <col min="21" max="22" width="1.25" style="10" customWidth="1"/>
    <col min="23" max="23" width="13.625" style="1" customWidth="1"/>
    <col min="24" max="25" width="1.25" style="1" customWidth="1"/>
    <col min="26" max="26" width="13.625" style="1" customWidth="1"/>
    <col min="27" max="27" width="1.25" style="10" customWidth="1"/>
    <col min="28" max="28" width="1.25" style="1" customWidth="1"/>
    <col min="29" max="29" width="13.625" style="1" customWidth="1"/>
    <col min="30" max="31" width="1.25" style="1" customWidth="1"/>
    <col min="32" max="32" width="13.625" style="1" customWidth="1"/>
    <col min="33" max="34" width="1.25" style="1" customWidth="1"/>
    <col min="35" max="35" width="13.625" style="1" customWidth="1"/>
    <col min="36" max="16384" width="9" style="1"/>
  </cols>
  <sheetData>
    <row r="1" spans="2:29">
      <c r="H1" s="137"/>
      <c r="Q1" s="10"/>
    </row>
    <row r="2" spans="2:29" ht="9" customHeight="1"/>
    <row r="3" spans="2:29">
      <c r="E3" s="125"/>
      <c r="F3" s="163"/>
      <c r="G3" s="253" t="s">
        <v>825</v>
      </c>
      <c r="H3" s="253"/>
      <c r="I3" s="118"/>
      <c r="J3" s="118"/>
      <c r="K3" s="150" t="s">
        <v>826</v>
      </c>
      <c r="L3" s="118"/>
      <c r="M3" s="118"/>
      <c r="N3" s="150" t="s">
        <v>828</v>
      </c>
      <c r="O3" s="118"/>
      <c r="P3" s="118"/>
      <c r="Q3" s="150" t="s">
        <v>827</v>
      </c>
      <c r="R3" s="118"/>
      <c r="S3" s="118"/>
      <c r="T3" s="150" t="s">
        <v>830</v>
      </c>
      <c r="U3" s="118"/>
      <c r="V3" s="118"/>
      <c r="W3" s="150" t="s">
        <v>851</v>
      </c>
      <c r="X3" s="119"/>
      <c r="Y3" s="116"/>
      <c r="Z3" s="150"/>
      <c r="AA3" s="122"/>
      <c r="AB3" s="123"/>
      <c r="AC3" s="123"/>
    </row>
    <row r="4" spans="2:29">
      <c r="E4" s="125"/>
      <c r="F4" s="178"/>
      <c r="G4" s="253" t="str">
        <f>IF(G3="","",VLOOKUP(G3,表示電話番号一覧!$C:$F,4,FALSE))</f>
        <v>080-3754-3568</v>
      </c>
      <c r="H4" s="253"/>
      <c r="I4" s="122"/>
      <c r="J4" s="120"/>
      <c r="K4" s="121" t="str">
        <f>IF(K3="","",VLOOKUP(K3,表示電話番号一覧!$C:$F,4,FALSE))</f>
        <v>080-4862-3745</v>
      </c>
      <c r="L4" s="122"/>
      <c r="M4" s="122"/>
      <c r="N4" s="121" t="str">
        <f>IF(N3="","",VLOOKUP(N3,表示電話番号一覧!$C:$F,4,FALSE))</f>
        <v>090-1791-5298</v>
      </c>
      <c r="O4" s="122"/>
      <c r="P4" s="122"/>
      <c r="Q4" s="121" t="str">
        <f>IF(Q3="","",VLOOKUP(Q3,表示電話番号一覧!$C:$F,4,FALSE))</f>
        <v>090-3104-3067</v>
      </c>
      <c r="R4" s="122"/>
      <c r="S4" s="122"/>
      <c r="T4" s="121" t="str">
        <f>IF(T3="","",VLOOKUP(T3,表示電話番号一覧!$C:$F,4,FALSE))</f>
        <v>080-3384-9464</v>
      </c>
      <c r="U4" s="122"/>
      <c r="V4" s="122"/>
      <c r="W4" s="150" t="str">
        <f>IF(W3="","",VLOOKUP(W3,表示電話番号一覧!$C:$F,4,FALSE))</f>
        <v>080-4584-2248</v>
      </c>
      <c r="X4" s="123"/>
      <c r="Y4" s="123"/>
      <c r="Z4" s="121" t="str">
        <f>IF(Z3="","",VLOOKUP(Z3,表示電話番号一覧!$C:$F,4,FALSE))</f>
        <v/>
      </c>
      <c r="AA4" s="122"/>
      <c r="AB4" s="123"/>
      <c r="AC4" s="123"/>
    </row>
    <row r="5" spans="2:29">
      <c r="B5" s="10"/>
      <c r="C5" s="10"/>
      <c r="D5" s="10"/>
      <c r="E5" s="125"/>
      <c r="F5" s="164"/>
      <c r="G5" s="152" t="s">
        <v>868</v>
      </c>
      <c r="I5" s="122"/>
      <c r="J5" s="120"/>
      <c r="K5" s="123"/>
      <c r="L5" s="122"/>
      <c r="M5" s="122"/>
      <c r="N5" s="123"/>
      <c r="O5" s="122"/>
      <c r="P5" s="122"/>
      <c r="Q5" s="123"/>
      <c r="R5" s="122"/>
      <c r="S5" s="122"/>
      <c r="T5" s="123"/>
      <c r="U5" s="122"/>
      <c r="V5" s="122"/>
      <c r="W5" s="123"/>
      <c r="X5" s="123"/>
      <c r="Y5" s="123"/>
      <c r="Z5" s="123"/>
      <c r="AA5" s="122"/>
      <c r="AB5" s="123"/>
      <c r="AC5" s="123"/>
    </row>
    <row r="6" spans="2:29">
      <c r="B6" s="10"/>
      <c r="C6" s="10"/>
      <c r="D6" s="10"/>
      <c r="E6" s="3"/>
      <c r="F6" s="164"/>
      <c r="I6" s="122"/>
      <c r="J6" s="121"/>
      <c r="K6" s="150" t="s">
        <v>831</v>
      </c>
      <c r="L6" s="118"/>
      <c r="M6" s="118"/>
      <c r="N6" s="150" t="s">
        <v>832</v>
      </c>
      <c r="O6" s="118"/>
      <c r="P6" s="118"/>
      <c r="Q6" s="150" t="s">
        <v>833</v>
      </c>
      <c r="R6" s="118"/>
      <c r="S6" s="118"/>
      <c r="T6" s="150" t="s">
        <v>834</v>
      </c>
      <c r="U6" s="118"/>
      <c r="V6" s="118"/>
      <c r="W6" s="150" t="s">
        <v>870</v>
      </c>
      <c r="X6" s="119"/>
      <c r="Y6" s="118"/>
      <c r="Z6" s="150" t="s">
        <v>880</v>
      </c>
      <c r="AA6" s="119"/>
      <c r="AB6" s="118"/>
      <c r="AC6" s="150" t="s">
        <v>877</v>
      </c>
    </row>
    <row r="7" spans="2:29">
      <c r="B7" s="10"/>
      <c r="C7" s="10"/>
      <c r="D7" s="10"/>
      <c r="E7" s="3"/>
      <c r="F7" s="164"/>
      <c r="I7" s="122"/>
      <c r="J7" s="122"/>
      <c r="K7" s="121" t="str">
        <f>IF(K6="","",VLOOKUP(K6,表示電話番号一覧!$C:$F,4,FALSE))</f>
        <v>070-3514-2223</v>
      </c>
      <c r="L7" s="122"/>
      <c r="M7" s="122"/>
      <c r="N7" s="121" t="str">
        <f>IF(N6="","",VLOOKUP(N6,表示電話番号一覧!$C:$F,4,FALSE))</f>
        <v>070-3541-0264</v>
      </c>
      <c r="O7" s="122"/>
      <c r="P7" s="122"/>
      <c r="Q7" s="121" t="str">
        <f>IF(Q6="","",VLOOKUP(Q6,表示電話番号一覧!$C:$F,4,FALSE))</f>
        <v>080-7933-6122</v>
      </c>
      <c r="R7" s="122"/>
      <c r="S7" s="122"/>
      <c r="T7" s="121" t="s">
        <v>883</v>
      </c>
      <c r="U7" s="122"/>
      <c r="V7" s="122"/>
      <c r="W7" s="121" t="e">
        <f>IF(W6="","",VLOOKUP(W6,表示電話番号一覧!$C:$F,4,FALSE))</f>
        <v>#N/A</v>
      </c>
      <c r="X7" s="123"/>
      <c r="Y7" s="123"/>
      <c r="Z7" s="121" t="s">
        <v>888</v>
      </c>
      <c r="AA7" s="122"/>
      <c r="AB7" s="123"/>
      <c r="AC7" s="121" t="s">
        <v>889</v>
      </c>
    </row>
    <row r="8" spans="2:29">
      <c r="B8" s="10"/>
      <c r="C8" s="10"/>
      <c r="D8" s="10"/>
      <c r="E8" s="3"/>
      <c r="F8" s="164"/>
      <c r="K8" s="10"/>
    </row>
    <row r="9" spans="2:29">
      <c r="B9" s="10"/>
      <c r="C9" s="10"/>
      <c r="D9" s="10"/>
      <c r="E9" s="3"/>
      <c r="F9" s="164"/>
      <c r="I9" s="112"/>
      <c r="J9" s="106"/>
      <c r="K9" s="146" t="s">
        <v>837</v>
      </c>
      <c r="L9" s="108"/>
      <c r="M9" s="108"/>
      <c r="N9" s="146" t="s">
        <v>67</v>
      </c>
      <c r="O9" s="108"/>
      <c r="P9" s="108"/>
      <c r="Q9" s="146" t="s">
        <v>84</v>
      </c>
      <c r="R9" s="108"/>
      <c r="S9" s="108"/>
      <c r="T9" s="146" t="s">
        <v>838</v>
      </c>
      <c r="U9" s="108"/>
      <c r="V9" s="108"/>
      <c r="W9" s="148" t="s">
        <v>81</v>
      </c>
      <c r="X9" s="109"/>
      <c r="Y9" s="106"/>
      <c r="Z9" s="146"/>
    </row>
    <row r="10" spans="2:29">
      <c r="B10" s="10"/>
      <c r="C10" s="10"/>
      <c r="D10" s="10"/>
      <c r="E10" s="3"/>
      <c r="F10" s="164"/>
      <c r="I10" s="112"/>
      <c r="J10" s="110"/>
      <c r="K10" s="111" t="str">
        <f>IF(K9="","",VLOOKUP(K9,表示電話番号一覧!$C:$F,4,FALSE))</f>
        <v>080-4581-1554</v>
      </c>
      <c r="L10" s="112"/>
      <c r="M10" s="112"/>
      <c r="N10" s="111" t="str">
        <f>IF(N9="","",VLOOKUP(N9,表示電話番号一覧!$C:$F,4,FALSE))</f>
        <v>080-3431-6721</v>
      </c>
      <c r="O10" s="112"/>
      <c r="P10" s="112"/>
      <c r="Q10" s="111" t="str">
        <f>IF(Q9="","",VLOOKUP(Q9,表示電話番号一覧!$C:$F,4,FALSE))</f>
        <v>080-3566-8973</v>
      </c>
      <c r="R10" s="112"/>
      <c r="S10" s="112"/>
      <c r="T10" s="111" t="str">
        <f>IF(T9="","",VLOOKUP(T9,表示電話番号一覧!$C:$F,4,FALSE))</f>
        <v>070-3854-6729</v>
      </c>
      <c r="U10" s="112"/>
      <c r="V10" s="112"/>
      <c r="W10" s="111" t="str">
        <f>IF(W9="","",VLOOKUP(W9,表示電話番号一覧!$C:$F,4,FALSE))</f>
        <v>080-9870-0199</v>
      </c>
      <c r="X10" s="113"/>
      <c r="Y10" s="113"/>
      <c r="Z10" s="111"/>
    </row>
    <row r="11" spans="2:29">
      <c r="B11" s="10"/>
      <c r="C11" s="10"/>
      <c r="D11" s="10"/>
      <c r="E11" s="3"/>
      <c r="F11" s="164"/>
      <c r="I11" s="112"/>
      <c r="J11" s="110"/>
      <c r="K11" s="113"/>
      <c r="L11" s="112"/>
      <c r="M11" s="112"/>
      <c r="N11" s="113"/>
      <c r="O11" s="112"/>
      <c r="P11" s="112"/>
      <c r="Q11" s="113"/>
      <c r="R11" s="112"/>
      <c r="S11" s="112"/>
      <c r="T11" s="112"/>
      <c r="U11" s="112"/>
      <c r="V11" s="112"/>
      <c r="W11" s="113"/>
      <c r="X11" s="113"/>
      <c r="Y11" s="113"/>
      <c r="Z11" s="113"/>
    </row>
    <row r="12" spans="2:29">
      <c r="B12" s="139" t="s">
        <v>108</v>
      </c>
      <c r="C12" s="10"/>
      <c r="D12" s="10"/>
      <c r="E12" s="3"/>
      <c r="F12" s="164"/>
      <c r="G12" s="10"/>
      <c r="H12" s="10"/>
      <c r="I12" s="112"/>
      <c r="J12" s="111"/>
      <c r="K12" s="189" t="s">
        <v>908</v>
      </c>
      <c r="L12" s="190"/>
      <c r="M12" s="190"/>
      <c r="N12" s="189" t="s">
        <v>910</v>
      </c>
      <c r="O12" s="190"/>
      <c r="P12" s="190"/>
      <c r="Q12" s="189" t="s">
        <v>912</v>
      </c>
      <c r="R12" s="190"/>
      <c r="S12" s="190"/>
      <c r="T12" s="189" t="s">
        <v>913</v>
      </c>
      <c r="U12" s="108"/>
      <c r="V12" s="108"/>
      <c r="W12" s="146"/>
      <c r="X12" s="109"/>
      <c r="Y12" s="106"/>
      <c r="Z12" s="146"/>
    </row>
    <row r="13" spans="2:29">
      <c r="B13" s="140" t="s">
        <v>115</v>
      </c>
      <c r="C13" s="10"/>
      <c r="D13" s="10"/>
      <c r="E13" s="3"/>
      <c r="F13" s="164"/>
      <c r="G13" s="10"/>
      <c r="H13" s="10"/>
      <c r="I13" s="112"/>
      <c r="J13" s="110"/>
      <c r="K13" s="191" t="str">
        <f>IF(K12="","",VLOOKUP(K12,表示電話番号一覧!$C:$F,4,FALSE))</f>
        <v>080-3270-6875</v>
      </c>
      <c r="L13" s="192"/>
      <c r="M13" s="193"/>
      <c r="N13" s="191" t="str">
        <f>IF(N12="","",VLOOKUP(N12,表示電話番号一覧!$C:$F,4,FALSE))</f>
        <v>090-9808-6751</v>
      </c>
      <c r="O13" s="192"/>
      <c r="P13" s="192"/>
      <c r="Q13" s="191" t="str">
        <f>IF(Q12="","",VLOOKUP(Q12,表示電話番号一覧!$C:$F,4,FALSE))</f>
        <v>080-9802-4443</v>
      </c>
      <c r="R13" s="192"/>
      <c r="S13" s="192"/>
      <c r="T13" s="191" t="str">
        <f>IF(T12="","",VLOOKUP(T12,表示電話番号一覧!$C:$F,4,FALSE))</f>
        <v>080-3606-3448</v>
      </c>
      <c r="U13" s="112"/>
      <c r="V13" s="112"/>
      <c r="W13" s="111" t="str">
        <f>IF(W12="","",VLOOKUP(W12,表示電話番号一覧!$C:$F,4,FALSE))</f>
        <v/>
      </c>
      <c r="X13" s="113"/>
      <c r="Y13" s="113"/>
      <c r="Z13" s="111" t="str">
        <f>IF(Z12="","",VLOOKUP(Z12,表示電話番号一覧!$C:$F,4,FALSE))</f>
        <v/>
      </c>
    </row>
    <row r="14" spans="2:29">
      <c r="B14" s="140" t="s">
        <v>116</v>
      </c>
      <c r="C14" s="10"/>
      <c r="D14" s="10"/>
      <c r="E14" s="3"/>
      <c r="F14" s="164"/>
      <c r="I14" s="112"/>
      <c r="J14" s="110"/>
      <c r="K14" s="113"/>
      <c r="L14" s="112"/>
      <c r="M14" s="110"/>
      <c r="N14" s="113"/>
      <c r="O14" s="112"/>
      <c r="P14" s="112"/>
      <c r="Q14" s="113"/>
      <c r="R14" s="112"/>
      <c r="S14" s="112"/>
      <c r="T14" s="113"/>
      <c r="U14" s="112"/>
      <c r="V14" s="112"/>
      <c r="W14" s="113"/>
      <c r="X14" s="113"/>
      <c r="Y14" s="113"/>
      <c r="Z14" s="113"/>
    </row>
    <row r="15" spans="2:29">
      <c r="B15" s="10"/>
      <c r="C15" s="10"/>
      <c r="D15" s="10"/>
      <c r="E15" s="3"/>
      <c r="F15" s="164"/>
      <c r="I15" s="112"/>
      <c r="J15" s="110"/>
      <c r="K15" s="112"/>
      <c r="L15" s="112"/>
      <c r="M15" s="111"/>
      <c r="N15" s="189" t="s">
        <v>915</v>
      </c>
      <c r="O15" s="108"/>
      <c r="P15" s="108"/>
      <c r="Q15" s="198" t="s">
        <v>823</v>
      </c>
      <c r="R15" s="199"/>
      <c r="S15" s="199"/>
      <c r="T15" s="198" t="s">
        <v>824</v>
      </c>
      <c r="U15" s="199"/>
      <c r="V15" s="199"/>
      <c r="W15" s="198" t="s">
        <v>876</v>
      </c>
      <c r="X15" s="109"/>
      <c r="Y15" s="106"/>
      <c r="Z15" s="149" t="s">
        <v>879</v>
      </c>
    </row>
    <row r="16" spans="2:29">
      <c r="C16" s="10"/>
      <c r="D16" s="10"/>
      <c r="E16" s="3"/>
      <c r="F16" s="164"/>
      <c r="I16" s="112"/>
      <c r="J16" s="110"/>
      <c r="K16" s="112" t="str">
        <f>IF(K15="","",VLOOKUP(K15,表示電話番号一覧!$C:$F,4,FALSE))</f>
        <v/>
      </c>
      <c r="L16" s="112"/>
      <c r="M16" s="112"/>
      <c r="N16" s="191" t="str">
        <f>IF(N15="","",VLOOKUP(N15,表示電話番号一覧!$C:$F,4,FALSE))</f>
        <v>080-4373-7684</v>
      </c>
      <c r="O16" s="112"/>
      <c r="P16" s="112"/>
      <c r="Q16" s="200" t="str">
        <f>IF(Q15="","",VLOOKUP(Q15,表示電話番号一覧!$C:$F,4,FALSE))</f>
        <v>070-3854-6728</v>
      </c>
      <c r="R16" s="201"/>
      <c r="S16" s="201"/>
      <c r="T16" s="200" t="str">
        <f>IF(T15="","",VLOOKUP(T15,表示電話番号一覧!$C:$F,4,FALSE))</f>
        <v>070-3854-6730</v>
      </c>
      <c r="U16" s="201"/>
      <c r="V16" s="201"/>
      <c r="W16" s="200" t="str">
        <f>IF(W15="","",VLOOKUP(W15,表示電話番号一覧!$C:$F,4,FALSE))</f>
        <v>070-3864-2675</v>
      </c>
      <c r="X16" s="113"/>
      <c r="Y16" s="113"/>
      <c r="Z16" s="111" t="e">
        <f>IF(Z15="","",VLOOKUP(Z15,表示電話番号一覧!$C:$F,4,FALSE))</f>
        <v>#N/A</v>
      </c>
    </row>
    <row r="17" spans="2:26">
      <c r="B17" s="10"/>
      <c r="C17" s="10"/>
      <c r="D17" s="10"/>
      <c r="E17" s="3"/>
      <c r="F17" s="164"/>
      <c r="G17" s="10"/>
      <c r="H17" s="10"/>
      <c r="I17" s="112"/>
      <c r="J17" s="110"/>
      <c r="K17" s="113"/>
      <c r="L17" s="112"/>
      <c r="M17" s="112"/>
      <c r="N17" s="113"/>
      <c r="O17" s="112"/>
      <c r="P17" s="112"/>
      <c r="Q17" s="113"/>
      <c r="R17" s="112"/>
      <c r="S17" s="112"/>
      <c r="T17" s="113"/>
      <c r="U17" s="112"/>
      <c r="V17" s="112"/>
      <c r="W17" s="113"/>
      <c r="X17" s="113"/>
      <c r="Y17" s="113"/>
      <c r="Z17" s="113"/>
    </row>
    <row r="18" spans="2:26">
      <c r="B18" s="252" t="s">
        <v>96</v>
      </c>
      <c r="C18" s="252"/>
      <c r="D18" s="252"/>
      <c r="E18" s="163"/>
      <c r="F18" s="162"/>
      <c r="G18" s="254" t="s">
        <v>836</v>
      </c>
      <c r="H18" s="254"/>
      <c r="I18" s="108"/>
      <c r="J18" s="109"/>
      <c r="K18" s="194" t="s">
        <v>916</v>
      </c>
      <c r="L18" s="195"/>
      <c r="M18" s="195"/>
      <c r="N18" s="194" t="s">
        <v>36</v>
      </c>
      <c r="O18" s="195"/>
      <c r="P18" s="195"/>
      <c r="Q18" s="194" t="s">
        <v>59</v>
      </c>
      <c r="R18" s="195"/>
      <c r="S18" s="195"/>
      <c r="T18" s="194" t="s">
        <v>113</v>
      </c>
      <c r="U18" s="195"/>
      <c r="V18" s="195"/>
      <c r="W18" s="194" t="s">
        <v>840</v>
      </c>
      <c r="X18" s="206"/>
      <c r="Y18" s="207"/>
      <c r="Z18" s="194"/>
    </row>
    <row r="19" spans="2:26">
      <c r="B19" s="252" t="str">
        <f>IF(B18="","",VLOOKUP(B18,表示電話番号一覧!$C:$F,4,FALSE))</f>
        <v>090-9025-2358</v>
      </c>
      <c r="C19" s="252"/>
      <c r="D19" s="252"/>
      <c r="E19" s="125"/>
      <c r="F19" s="178"/>
      <c r="G19" s="254" t="str">
        <f>IF(G18="","",VLOOKUP(G18,表示電話番号一覧!$C:$F,4,FALSE))</f>
        <v>080-3566-8951</v>
      </c>
      <c r="H19" s="254"/>
      <c r="I19" s="112"/>
      <c r="J19" s="110"/>
      <c r="K19" s="196" t="str">
        <f>IF(K18="","",VLOOKUP(K18,表示電話番号一覧!$C:$F,4,FALSE))</f>
        <v>080-3451-6474</v>
      </c>
      <c r="L19" s="197"/>
      <c r="M19" s="208"/>
      <c r="N19" s="196" t="str">
        <f>IF(N18="","",VLOOKUP(N18,表示電話番号一覧!$C:$F,4,FALSE))</f>
        <v>080-4373-7695</v>
      </c>
      <c r="O19" s="197"/>
      <c r="P19" s="197"/>
      <c r="Q19" s="196" t="str">
        <f>IF(Q18="","",VLOOKUP(Q18,表示電話番号一覧!$C:$F,4,FALSE))</f>
        <v>080-3566-8966</v>
      </c>
      <c r="R19" s="197"/>
      <c r="S19" s="197"/>
      <c r="T19" s="196" t="str">
        <f>IF(T18="","",VLOOKUP(T18,表示電話番号一覧!$C:$F,4,FALSE))</f>
        <v>070-3629-7215</v>
      </c>
      <c r="U19" s="197"/>
      <c r="V19" s="197"/>
      <c r="W19" s="196" t="e">
        <f>IF(W18="","",VLOOKUP(W18,表示電話番号一覧!$C:$F,4,FALSE))</f>
        <v>#N/A</v>
      </c>
      <c r="X19" s="209"/>
      <c r="Y19" s="209"/>
      <c r="Z19" s="196" t="str">
        <f>IF(Z18="","",VLOOKUP(Z18,表示電話番号一覧!$C:$F,4,FALSE))</f>
        <v/>
      </c>
    </row>
    <row r="20" spans="2:26">
      <c r="B20" s="182" t="s">
        <v>866</v>
      </c>
      <c r="C20" s="181"/>
      <c r="D20" s="125"/>
      <c r="E20" s="125"/>
      <c r="F20" s="164"/>
      <c r="G20" s="139" t="s">
        <v>867</v>
      </c>
      <c r="H20" s="10"/>
      <c r="I20" s="112"/>
      <c r="J20" s="110"/>
      <c r="K20" s="209"/>
      <c r="L20" s="197"/>
      <c r="M20" s="208"/>
      <c r="N20" s="209"/>
      <c r="O20" s="197"/>
      <c r="P20" s="197"/>
      <c r="Q20" s="209"/>
      <c r="R20" s="197"/>
      <c r="S20" s="197"/>
      <c r="T20" s="209"/>
      <c r="U20" s="197"/>
      <c r="V20" s="197"/>
      <c r="W20" s="209"/>
      <c r="X20" s="209"/>
      <c r="Y20" s="209"/>
      <c r="Z20" s="209"/>
    </row>
    <row r="21" spans="2:26">
      <c r="C21" s="181"/>
      <c r="D21" s="125"/>
      <c r="E21" s="125"/>
      <c r="F21" s="164"/>
      <c r="I21" s="112"/>
      <c r="J21" s="110"/>
      <c r="K21" s="209"/>
      <c r="L21" s="197"/>
      <c r="M21" s="206"/>
      <c r="N21" s="194" t="s">
        <v>43</v>
      </c>
      <c r="O21" s="195"/>
      <c r="P21" s="195"/>
      <c r="Q21" s="194" t="s">
        <v>871</v>
      </c>
      <c r="R21" s="195"/>
      <c r="S21" s="195"/>
      <c r="T21" s="194" t="s">
        <v>46</v>
      </c>
      <c r="U21" s="195"/>
      <c r="V21" s="195"/>
      <c r="W21" s="194" t="s">
        <v>86</v>
      </c>
      <c r="X21" s="206"/>
      <c r="Y21" s="207"/>
      <c r="Z21" s="194" t="s">
        <v>841</v>
      </c>
    </row>
    <row r="22" spans="2:26">
      <c r="C22" s="181"/>
      <c r="D22" s="125"/>
      <c r="E22" s="125"/>
      <c r="F22" s="164"/>
      <c r="I22" s="112"/>
      <c r="J22" s="110"/>
      <c r="K22" s="209"/>
      <c r="L22" s="197"/>
      <c r="M22" s="197"/>
      <c r="N22" s="196" t="str">
        <f>IF(N21="","",VLOOKUP(N21,表示電話番号一覧!$C:$F,4,FALSE))</f>
        <v>080-4581-1553</v>
      </c>
      <c r="O22" s="197"/>
      <c r="P22" s="197"/>
      <c r="Q22" s="196" t="str">
        <f>IF(Q21="","",VLOOKUP(Q21,表示電話番号一覧!$C:$F,4,FALSE))</f>
        <v>080-3566-8974</v>
      </c>
      <c r="R22" s="197"/>
      <c r="S22" s="197"/>
      <c r="T22" s="196" t="str">
        <f>IF(T21="","",VLOOKUP(T21,表示電話番号一覧!$C:$F,4,FALSE))</f>
        <v>080-4373-7793</v>
      </c>
      <c r="U22" s="197"/>
      <c r="V22" s="197"/>
      <c r="W22" s="196" t="str">
        <f>IF(W21="","",VLOOKUP(W21,表示電話番号一覧!$C:$F,4,FALSE))</f>
        <v>070-3541-0263</v>
      </c>
      <c r="X22" s="209"/>
      <c r="Y22" s="209"/>
      <c r="Z22" s="196" t="str">
        <f>IF(Z21="","",VLOOKUP(Z21,表示電話番号一覧!$C:$F,4,FALSE))</f>
        <v>070-3843-4639</v>
      </c>
    </row>
    <row r="23" spans="2:26">
      <c r="C23" s="181"/>
      <c r="D23" s="125"/>
      <c r="E23" s="125"/>
      <c r="F23" s="164"/>
      <c r="I23" s="112"/>
      <c r="J23" s="110"/>
      <c r="K23" s="113"/>
      <c r="L23" s="112"/>
      <c r="M23" s="112"/>
      <c r="N23" s="113"/>
      <c r="O23" s="112"/>
      <c r="P23" s="112"/>
      <c r="Q23" s="113"/>
      <c r="R23" s="112"/>
      <c r="S23" s="112"/>
      <c r="T23" s="113"/>
      <c r="U23" s="112"/>
      <c r="V23" s="112"/>
      <c r="W23" s="113"/>
      <c r="X23" s="113"/>
      <c r="Y23" s="113"/>
      <c r="Z23" s="113"/>
    </row>
    <row r="24" spans="2:26">
      <c r="B24" s="10"/>
      <c r="C24" s="181"/>
      <c r="D24" s="125"/>
      <c r="E24" s="179"/>
      <c r="F24" s="180"/>
      <c r="I24" s="112"/>
      <c r="J24" s="110"/>
      <c r="K24" s="112"/>
      <c r="L24" s="112"/>
      <c r="M24" s="108"/>
      <c r="N24" s="146" t="s">
        <v>842</v>
      </c>
      <c r="O24" s="108"/>
      <c r="P24" s="108"/>
      <c r="Q24" s="146" t="s">
        <v>20</v>
      </c>
      <c r="R24" s="108"/>
      <c r="S24" s="108"/>
      <c r="T24" s="146" t="s">
        <v>54</v>
      </c>
      <c r="U24" s="108"/>
      <c r="V24" s="108"/>
      <c r="W24" s="146" t="s">
        <v>28</v>
      </c>
      <c r="X24" s="109"/>
      <c r="Y24" s="106"/>
      <c r="Z24" s="146" t="s">
        <v>875</v>
      </c>
    </row>
    <row r="25" spans="2:26">
      <c r="B25" s="10"/>
      <c r="C25" s="181"/>
      <c r="D25" s="3"/>
      <c r="E25" s="179"/>
      <c r="F25" s="180"/>
      <c r="I25" s="112"/>
      <c r="J25" s="110"/>
      <c r="K25" s="112"/>
      <c r="L25" s="112"/>
      <c r="M25" s="114"/>
      <c r="N25" s="111" t="str">
        <f>IF(N24="","",VLOOKUP(N24,表示電話番号一覧!$C:$F,4,FALSE))</f>
        <v>070-2165-7714</v>
      </c>
      <c r="O25" s="112"/>
      <c r="P25" s="112"/>
      <c r="Q25" s="111" t="str">
        <f>IF(Q24="","",VLOOKUP(Q24,表示電話番号一覧!$C:$F,4,FALSE))</f>
        <v>080-3566-8978</v>
      </c>
      <c r="R25" s="112"/>
      <c r="S25" s="112"/>
      <c r="T25" s="111" t="str">
        <f>IF(T24="","",VLOOKUP(T24,表示電話番号一覧!$C:$F,4,FALSE))</f>
        <v>070-4201-6852</v>
      </c>
      <c r="U25" s="112"/>
      <c r="V25" s="112"/>
      <c r="W25" s="111" t="str">
        <f>IF(W24="","",VLOOKUP(W24,表示電話番号一覧!$C:$F,4,FALSE))</f>
        <v>090-2402-7362</v>
      </c>
      <c r="X25" s="113"/>
      <c r="Y25" s="113"/>
      <c r="Z25" s="111" t="str">
        <f>IF(Z24="","",VLOOKUP(Z24,表示電話番号一覧!$C:$F,4,FALSE))</f>
        <v>090-6950-1788</v>
      </c>
    </row>
    <row r="26" spans="2:26">
      <c r="B26" s="10"/>
      <c r="C26" s="181"/>
      <c r="D26" s="3"/>
      <c r="E26" s="3"/>
      <c r="F26" s="164"/>
      <c r="I26" s="112"/>
      <c r="J26" s="110"/>
      <c r="K26" s="113"/>
      <c r="L26" s="112"/>
      <c r="M26" s="110"/>
      <c r="N26" s="113"/>
      <c r="O26" s="112"/>
      <c r="P26" s="112"/>
      <c r="Q26" s="113"/>
      <c r="R26" s="112"/>
      <c r="S26" s="112"/>
      <c r="T26" s="113"/>
      <c r="U26" s="112"/>
      <c r="V26" s="112"/>
      <c r="W26" s="113"/>
      <c r="X26" s="113"/>
      <c r="Y26" s="113"/>
      <c r="Z26" s="113"/>
    </row>
    <row r="27" spans="2:26">
      <c r="B27" s="10"/>
      <c r="C27" s="181"/>
      <c r="D27" s="3"/>
      <c r="E27" s="3"/>
      <c r="F27" s="164"/>
      <c r="I27" s="112"/>
      <c r="J27" s="109"/>
      <c r="K27" s="146" t="s">
        <v>29</v>
      </c>
      <c r="L27" s="108"/>
      <c r="M27" s="109"/>
      <c r="N27" s="146" t="s">
        <v>847</v>
      </c>
      <c r="O27" s="108"/>
      <c r="P27" s="108"/>
      <c r="Q27" s="146" t="s">
        <v>848</v>
      </c>
      <c r="R27" s="108"/>
      <c r="S27" s="108"/>
      <c r="T27" s="148" t="s">
        <v>850</v>
      </c>
      <c r="U27" s="108"/>
      <c r="V27" s="108"/>
      <c r="W27" s="146"/>
      <c r="X27" s="109"/>
      <c r="Y27" s="106"/>
      <c r="Z27" s="146"/>
    </row>
    <row r="28" spans="2:26">
      <c r="B28" s="10"/>
      <c r="C28" s="181"/>
      <c r="D28" s="3"/>
      <c r="E28" s="3"/>
      <c r="F28" s="164"/>
      <c r="I28" s="112"/>
      <c r="J28" s="112"/>
      <c r="K28" s="111" t="str">
        <f>IF(K27="","",VLOOKUP(K27,表示電話番号一覧!$C:$F,4,FALSE))</f>
        <v>090-6033-7021</v>
      </c>
      <c r="L28" s="112"/>
      <c r="M28" s="138"/>
      <c r="N28" s="111" t="str">
        <f>IF(N27="","",VLOOKUP(N27,表示電話番号一覧!$C:$F,4,FALSE))</f>
        <v>080-3566-8975</v>
      </c>
      <c r="O28" s="112"/>
      <c r="P28" s="112"/>
      <c r="Q28" s="111" t="str">
        <f>IF(Q27="","",VLOOKUP(Q27,表示電話番号一覧!$C:$F,4,FALSE))</f>
        <v>080-4106-8296</v>
      </c>
      <c r="R28" s="112"/>
      <c r="S28" s="112"/>
      <c r="T28" s="111" t="str">
        <f>IF(T27="","",VLOOKUP(T27,表示電話番号一覧!$C:$F,4,FALSE))</f>
        <v>080-4373-8694</v>
      </c>
      <c r="U28" s="112"/>
      <c r="V28" s="112"/>
      <c r="W28" s="111"/>
      <c r="X28" s="113"/>
      <c r="Y28" s="113"/>
      <c r="Z28" s="111" t="str">
        <f>IF(Z27="","",VLOOKUP(Z27,表示電話番号一覧!$C:$F,4,FALSE))</f>
        <v/>
      </c>
    </row>
    <row r="29" spans="2:26">
      <c r="B29" s="10"/>
      <c r="C29" s="181"/>
      <c r="D29" s="3"/>
      <c r="E29" s="3"/>
      <c r="F29" s="164"/>
      <c r="I29" s="1"/>
      <c r="J29" s="1"/>
      <c r="L29" s="113"/>
      <c r="M29" s="110"/>
      <c r="N29" s="113"/>
      <c r="O29" s="112"/>
      <c r="P29" s="112"/>
      <c r="Q29" s="113"/>
      <c r="R29" s="112"/>
      <c r="S29" s="112"/>
      <c r="T29" s="113"/>
      <c r="U29" s="112"/>
      <c r="V29" s="112"/>
      <c r="W29" s="113"/>
      <c r="X29" s="112"/>
      <c r="Y29" s="112"/>
      <c r="Z29" s="113"/>
    </row>
    <row r="30" spans="2:26">
      <c r="B30" s="10"/>
      <c r="C30" s="181"/>
      <c r="D30" s="3"/>
      <c r="E30" s="3"/>
      <c r="F30" s="164"/>
      <c r="I30" s="1"/>
      <c r="J30" s="1"/>
      <c r="L30" s="113"/>
      <c r="M30" s="109"/>
      <c r="N30" s="189" t="s">
        <v>844</v>
      </c>
      <c r="O30" s="108"/>
      <c r="P30" s="108"/>
      <c r="Q30" s="146" t="s">
        <v>845</v>
      </c>
      <c r="R30" s="108"/>
      <c r="S30" s="108"/>
      <c r="T30" s="146" t="s">
        <v>846</v>
      </c>
      <c r="U30" s="108"/>
      <c r="V30" s="108"/>
      <c r="W30" s="146" t="s">
        <v>843</v>
      </c>
      <c r="X30" s="109"/>
      <c r="Y30" s="106"/>
      <c r="Z30" s="148" t="s">
        <v>849</v>
      </c>
    </row>
    <row r="31" spans="2:26">
      <c r="B31" s="10"/>
      <c r="C31" s="181"/>
      <c r="D31" s="3"/>
      <c r="E31" s="3"/>
      <c r="F31" s="164"/>
      <c r="I31" s="1"/>
      <c r="J31" s="1"/>
      <c r="L31" s="112"/>
      <c r="M31" s="113"/>
      <c r="N31" s="191" t="str">
        <f>IF(N30="","",VLOOKUP(N30,表示電話番号一覧!$C:$F,4,FALSE))</f>
        <v>080-3446-7228</v>
      </c>
      <c r="O31" s="112"/>
      <c r="P31" s="114"/>
      <c r="Q31" s="111" t="str">
        <f>IF(Q30="","",VLOOKUP(Q30,表示電話番号一覧!$C:$F,4,FALSE))</f>
        <v>070-3601-5755</v>
      </c>
      <c r="R31" s="112"/>
      <c r="S31" s="112"/>
      <c r="T31" s="111" t="str">
        <f>IF(T30="","",VLOOKUP(T30,表示電話番号一覧!$C:$F,4,FALSE))</f>
        <v>070-3609-3812</v>
      </c>
      <c r="U31" s="112"/>
      <c r="V31" s="112"/>
      <c r="W31" s="111" t="str">
        <f>IF(W30="","",VLOOKUP(W30,表示電話番号一覧!$C:$F,4,FALSE))</f>
        <v>080-3566-8955</v>
      </c>
      <c r="X31" s="112"/>
      <c r="Y31" s="112"/>
      <c r="Z31" s="111" t="str">
        <f>IF(Z30="","",VLOOKUP(Z30,表示電話番号一覧!$C:$F,4,FALSE))</f>
        <v>080-3566-8958</v>
      </c>
    </row>
    <row r="32" spans="2:26">
      <c r="B32" s="10"/>
      <c r="C32" s="181"/>
      <c r="D32" s="3"/>
      <c r="E32" s="3"/>
      <c r="F32" s="164"/>
      <c r="I32" s="1"/>
      <c r="J32" s="1"/>
      <c r="L32" s="159"/>
      <c r="M32" s="159"/>
      <c r="N32" s="159"/>
      <c r="O32" s="160"/>
      <c r="P32" s="161"/>
      <c r="Q32" s="113"/>
      <c r="R32" s="112"/>
      <c r="S32" s="112"/>
      <c r="T32" s="113"/>
      <c r="U32" s="112"/>
      <c r="V32" s="112"/>
      <c r="W32" s="113"/>
      <c r="X32" s="113"/>
      <c r="Y32" s="113"/>
      <c r="Z32" s="113"/>
    </row>
    <row r="33" spans="2:32">
      <c r="B33" s="10"/>
      <c r="C33" s="181"/>
      <c r="D33" s="3"/>
      <c r="E33" s="3"/>
      <c r="F33" s="164"/>
      <c r="J33" s="125"/>
      <c r="K33" s="3"/>
      <c r="L33" s="160"/>
      <c r="M33" s="160"/>
      <c r="N33" s="159"/>
      <c r="O33" s="159"/>
      <c r="P33" s="151"/>
      <c r="Q33" s="210" t="s">
        <v>23</v>
      </c>
      <c r="R33" s="108"/>
      <c r="S33" s="108"/>
      <c r="T33" s="212" t="s">
        <v>94</v>
      </c>
      <c r="U33" s="203"/>
      <c r="V33" s="203"/>
      <c r="W33" s="202" t="s">
        <v>872</v>
      </c>
      <c r="X33" s="109"/>
      <c r="Y33" s="106"/>
      <c r="Z33" s="146"/>
    </row>
    <row r="34" spans="2:32">
      <c r="B34" s="10"/>
      <c r="C34" s="181"/>
      <c r="D34" s="3"/>
      <c r="E34" s="3"/>
      <c r="F34" s="164"/>
      <c r="J34" s="125"/>
      <c r="K34" s="3"/>
      <c r="L34" s="160"/>
      <c r="M34" s="160"/>
      <c r="N34" s="159"/>
      <c r="O34" s="159"/>
      <c r="P34" s="159"/>
      <c r="Q34" s="211" t="str">
        <f>IF(Q33="","",VLOOKUP(Q33,表示電話番号一覧!$C:$F,4,FALSE))</f>
        <v>080-3566-8957</v>
      </c>
      <c r="R34" s="112"/>
      <c r="S34" s="112"/>
      <c r="T34" s="204" t="str">
        <f>IF(T33="","",VLOOKUP(T33,表示電話番号一覧!$C:$F,4,FALSE))</f>
        <v>070-3533-7393</v>
      </c>
      <c r="U34" s="205"/>
      <c r="V34" s="205"/>
      <c r="W34" s="204" t="s">
        <v>873</v>
      </c>
      <c r="X34" s="113"/>
      <c r="Y34" s="113"/>
      <c r="Z34" s="111"/>
    </row>
    <row r="35" spans="2:32">
      <c r="B35" s="10"/>
      <c r="C35" s="181"/>
      <c r="D35" s="3"/>
      <c r="E35" s="3"/>
      <c r="F35" s="164"/>
      <c r="K35" s="10"/>
      <c r="N35" s="10"/>
      <c r="Q35" s="10"/>
      <c r="T35" s="10"/>
      <c r="W35" s="10"/>
      <c r="Z35" s="10"/>
    </row>
    <row r="36" spans="2:32">
      <c r="B36" s="10"/>
      <c r="C36" s="181"/>
      <c r="D36" s="125"/>
      <c r="E36" s="3"/>
      <c r="F36" s="164"/>
      <c r="I36" s="168"/>
      <c r="J36" s="169"/>
      <c r="K36" s="170" t="s">
        <v>139</v>
      </c>
      <c r="L36" s="169"/>
      <c r="M36" s="171"/>
      <c r="N36" s="170" t="s">
        <v>878</v>
      </c>
      <c r="O36" s="169"/>
      <c r="P36" s="169"/>
      <c r="Q36" s="170" t="s">
        <v>864</v>
      </c>
      <c r="R36" s="169"/>
      <c r="S36" s="169"/>
      <c r="T36" s="170"/>
      <c r="U36" s="169"/>
      <c r="V36" s="169"/>
      <c r="W36" s="170"/>
      <c r="X36" s="172"/>
      <c r="Y36" s="171"/>
      <c r="Z36" s="170"/>
    </row>
    <row r="37" spans="2:32">
      <c r="B37" s="10"/>
      <c r="C37" s="181"/>
      <c r="D37" s="125"/>
      <c r="E37" s="125"/>
      <c r="F37" s="164"/>
      <c r="I37" s="168"/>
      <c r="J37" s="173"/>
      <c r="K37" s="174" t="str">
        <f>IF(K36="","",VLOOKUP(K36,表示電話番号一覧!$C:$F,4,FALSE))</f>
        <v>080-9819-8256</v>
      </c>
      <c r="L37" s="168"/>
      <c r="M37" s="168"/>
      <c r="N37" s="174" t="str">
        <f>IF(N36="","",VLOOKUP(N36,表示電話番号一覧!$C:$F,4,FALSE))</f>
        <v>080-5190-8426</v>
      </c>
      <c r="O37" s="168"/>
      <c r="P37" s="168"/>
      <c r="Q37" s="174" t="str">
        <f>IF(Q36="","",VLOOKUP(Q36,表示電話番号一覧!$C:$F,4,FALSE))</f>
        <v>090-1047-0938</v>
      </c>
      <c r="R37" s="168"/>
      <c r="S37" s="168"/>
      <c r="T37" s="174"/>
      <c r="U37" s="168"/>
      <c r="V37" s="168"/>
      <c r="W37" s="174" t="str">
        <f>IF(W36="","",VLOOKUP(W36,表示電話番号一覧!$C:$F,4,FALSE))</f>
        <v/>
      </c>
      <c r="X37" s="175"/>
      <c r="Y37" s="175"/>
      <c r="Z37" s="174" t="str">
        <f>IF(Z36="","",VLOOKUP(Z36,表示電話番号一覧!$C:$F,4,FALSE))</f>
        <v/>
      </c>
    </row>
    <row r="38" spans="2:32">
      <c r="B38" s="10"/>
      <c r="C38" s="181"/>
      <c r="D38" s="125"/>
      <c r="E38" s="125"/>
      <c r="F38" s="164"/>
      <c r="G38" s="10"/>
      <c r="H38" s="10"/>
      <c r="I38" s="168"/>
      <c r="J38" s="173"/>
      <c r="K38" s="175"/>
      <c r="L38" s="168"/>
      <c r="M38" s="168"/>
      <c r="N38" s="175"/>
      <c r="O38" s="168"/>
      <c r="P38" s="168"/>
      <c r="Q38" s="175"/>
      <c r="R38" s="168"/>
      <c r="S38" s="168"/>
      <c r="T38" s="175"/>
      <c r="U38" s="168"/>
      <c r="V38" s="168"/>
      <c r="W38" s="175"/>
      <c r="X38" s="175"/>
      <c r="Y38" s="175"/>
      <c r="Z38" s="175"/>
    </row>
    <row r="39" spans="2:32">
      <c r="B39" s="10"/>
      <c r="C39" s="181"/>
      <c r="D39" s="125"/>
      <c r="E39" s="125"/>
      <c r="F39" s="165"/>
      <c r="G39" s="251" t="s">
        <v>860</v>
      </c>
      <c r="H39" s="251"/>
      <c r="I39" s="174"/>
      <c r="J39" s="172"/>
      <c r="K39" s="170" t="s">
        <v>104</v>
      </c>
      <c r="L39" s="169"/>
      <c r="M39" s="171"/>
      <c r="N39" s="170" t="s">
        <v>853</v>
      </c>
      <c r="O39" s="169"/>
      <c r="P39" s="169"/>
      <c r="Q39" s="170" t="s">
        <v>854</v>
      </c>
      <c r="R39" s="169"/>
      <c r="S39" s="169"/>
      <c r="T39" s="170" t="s">
        <v>855</v>
      </c>
      <c r="U39" s="169"/>
      <c r="V39" s="169"/>
      <c r="W39" s="170" t="s">
        <v>856</v>
      </c>
      <c r="X39" s="172"/>
      <c r="Y39" s="171"/>
      <c r="Z39" s="170" t="s">
        <v>862</v>
      </c>
    </row>
    <row r="40" spans="2:32">
      <c r="B40" s="10"/>
      <c r="C40" s="181"/>
      <c r="D40" s="125"/>
      <c r="E40" s="125"/>
      <c r="F40" s="125"/>
      <c r="G40" s="251" t="str">
        <f>IF(G39="","",VLOOKUP(G39,表示電話番号一覧!$C:$F,4,FALSE))</f>
        <v>080-4905-6111</v>
      </c>
      <c r="H40" s="251"/>
      <c r="I40" s="168"/>
      <c r="J40" s="173"/>
      <c r="K40" s="174" t="str">
        <f>IF(K39="","",VLOOKUP(K39,表示電話番号一覧!$C:$F,4,FALSE))</f>
        <v>090-4241-0567</v>
      </c>
      <c r="L40" s="168"/>
      <c r="M40" s="168"/>
      <c r="N40" s="170" t="str">
        <f>IF(N39="","",VLOOKUP(N39,表示電話番号一覧!$C:$F,4,FALSE))</f>
        <v>090-4855-2641</v>
      </c>
      <c r="O40" s="168"/>
      <c r="P40" s="168"/>
      <c r="Q40" s="174" t="str">
        <f>IF(Q39="","",VLOOKUP(Q39,表示電話番号一覧!$C:$F,4,FALSE))</f>
        <v>090-4938-1866</v>
      </c>
      <c r="R40" s="168"/>
      <c r="S40" s="168"/>
      <c r="T40" s="174" t="str">
        <f>IF(T39="","",VLOOKUP(T39,表示電話番号一覧!$C:$F,4,FALSE))</f>
        <v>090-9855-5534</v>
      </c>
      <c r="U40" s="168"/>
      <c r="V40" s="168"/>
      <c r="W40" s="174" t="e">
        <f>IF(W39="","",VLOOKUP(W39,表示電話番号一覧!$C:$F,4,FALSE))</f>
        <v>#N/A</v>
      </c>
      <c r="X40" s="175"/>
      <c r="Y40" s="175"/>
      <c r="Z40" s="174" t="str">
        <f>IF(Z39="","",VLOOKUP(Z39,表示電話番号一覧!$C:$F,4,FALSE))</f>
        <v>080-2333-4494</v>
      </c>
    </row>
    <row r="41" spans="2:32">
      <c r="B41" s="10"/>
      <c r="C41" s="181"/>
      <c r="D41" s="125"/>
      <c r="E41" s="10"/>
      <c r="F41" s="10"/>
      <c r="G41" s="139" t="s">
        <v>282</v>
      </c>
      <c r="I41" s="168"/>
      <c r="J41" s="173"/>
      <c r="K41" s="175"/>
      <c r="L41" s="168"/>
      <c r="M41" s="168"/>
      <c r="N41" s="175"/>
      <c r="O41" s="168"/>
      <c r="P41" s="168"/>
      <c r="Q41" s="175"/>
      <c r="R41" s="168"/>
      <c r="S41" s="168"/>
      <c r="T41" s="175"/>
      <c r="U41" s="168"/>
      <c r="V41" s="168"/>
      <c r="W41" s="175"/>
      <c r="X41" s="175"/>
      <c r="Y41" s="175"/>
      <c r="Z41" s="175"/>
    </row>
    <row r="42" spans="2:32">
      <c r="B42" s="10"/>
      <c r="C42" s="181"/>
      <c r="D42" s="125"/>
      <c r="E42" s="4"/>
      <c r="F42" s="5"/>
      <c r="I42" s="168"/>
      <c r="J42" s="172"/>
      <c r="K42" s="170" t="s">
        <v>857</v>
      </c>
      <c r="L42" s="169"/>
      <c r="M42" s="171"/>
      <c r="N42" s="170" t="s">
        <v>869</v>
      </c>
      <c r="O42" s="169"/>
      <c r="P42" s="169"/>
      <c r="Q42" s="170" t="s">
        <v>858</v>
      </c>
      <c r="R42" s="169"/>
      <c r="S42" s="169"/>
      <c r="T42" s="170" t="s">
        <v>859</v>
      </c>
      <c r="U42" s="172"/>
      <c r="V42" s="171"/>
      <c r="W42" s="170"/>
      <c r="X42" s="10"/>
      <c r="AA42" s="1"/>
    </row>
    <row r="43" spans="2:32">
      <c r="B43" s="10"/>
      <c r="C43" s="181"/>
      <c r="D43" s="3"/>
      <c r="I43" s="168"/>
      <c r="J43" s="176"/>
      <c r="K43" s="174" t="s">
        <v>887</v>
      </c>
      <c r="L43" s="168"/>
      <c r="M43" s="177"/>
      <c r="N43" s="170" t="e">
        <f>IF(N42="","",VLOOKUP(N42,表示電話番号一覧!$C:$F,4,FALSE))</f>
        <v>#N/A</v>
      </c>
      <c r="O43" s="168"/>
      <c r="P43" s="168"/>
      <c r="Q43" s="174" t="str">
        <f>IF(Q42="","",VLOOKUP(Q42,表示電話番号一覧!$C:$F,4,FALSE))</f>
        <v>080-2053-5731</v>
      </c>
      <c r="R43" s="168"/>
      <c r="S43" s="168"/>
      <c r="T43" s="174" t="s">
        <v>882</v>
      </c>
      <c r="U43" s="175"/>
      <c r="V43" s="175"/>
      <c r="W43" s="174" t="str">
        <f>IF(W42="","",VLOOKUP(W42,表示電話番号一覧!$C:$F,4,FALSE))</f>
        <v/>
      </c>
      <c r="X43" s="10"/>
      <c r="AA43" s="1"/>
    </row>
    <row r="44" spans="2:32">
      <c r="B44" s="10"/>
      <c r="C44" s="181"/>
      <c r="D44" s="3"/>
      <c r="I44" s="125"/>
      <c r="J44" s="164"/>
      <c r="K44" s="141"/>
      <c r="L44" s="3"/>
      <c r="M44" s="125"/>
      <c r="N44" s="125"/>
      <c r="O44" s="3"/>
      <c r="P44" s="125"/>
      <c r="Q44" s="125"/>
      <c r="R44" s="3"/>
      <c r="S44" s="125"/>
      <c r="T44" s="125"/>
      <c r="U44" s="3"/>
      <c r="V44" s="125"/>
      <c r="W44" s="125"/>
      <c r="X44" s="3"/>
      <c r="Y44" s="3"/>
      <c r="Z44" s="3"/>
      <c r="AA44" s="125"/>
      <c r="AB44" s="3"/>
      <c r="AC44" s="3"/>
    </row>
    <row r="45" spans="2:32">
      <c r="B45" s="10"/>
      <c r="C45" s="181"/>
      <c r="D45" s="3"/>
      <c r="I45" s="130"/>
      <c r="J45" s="126"/>
      <c r="K45" s="127" t="s">
        <v>19</v>
      </c>
      <c r="L45" s="128"/>
      <c r="M45" s="128"/>
      <c r="N45" s="127" t="s">
        <v>105</v>
      </c>
      <c r="O45" s="128"/>
      <c r="P45" s="128"/>
      <c r="Q45" s="127" t="s">
        <v>138</v>
      </c>
      <c r="R45" s="128"/>
      <c r="S45" s="128"/>
      <c r="T45" s="127" t="s">
        <v>881</v>
      </c>
      <c r="U45" s="132"/>
      <c r="V45" s="132"/>
      <c r="W45" s="132"/>
      <c r="X45" s="132"/>
      <c r="Y45" s="132"/>
      <c r="Z45" s="132"/>
      <c r="AA45" s="3"/>
      <c r="AB45" s="3"/>
      <c r="AC45" s="3"/>
    </row>
    <row r="46" spans="2:32">
      <c r="B46" s="10"/>
      <c r="C46" s="181"/>
      <c r="D46" s="3"/>
      <c r="I46" s="130"/>
      <c r="J46" s="130"/>
      <c r="K46" s="131" t="str">
        <f>IF(K45="","",VLOOKUP(K45,表示電話番号一覧!$C:$F,4,FALSE))</f>
        <v>080-3566-8956</v>
      </c>
      <c r="L46" s="130"/>
      <c r="M46" s="158"/>
      <c r="N46" s="131" t="str">
        <f>IF(N45="","",VLOOKUP(N45,表示電話番号一覧!$C:$F,4,FALSE))</f>
        <v>070-3547-4367</v>
      </c>
      <c r="O46" s="130"/>
      <c r="P46" s="130"/>
      <c r="Q46" s="131" t="str">
        <f>IF(Q45="","",VLOOKUP(Q45,表示電話番号一覧!$C:$F,4,FALSE))</f>
        <v>070-3852-1867</v>
      </c>
      <c r="R46" s="130"/>
      <c r="S46" s="130"/>
      <c r="T46" s="131" t="str">
        <f>IF(T45="","",VLOOKUP(T45,表示電話番号一覧!$C:$F,4,FALSE))</f>
        <v>070-3533-7394</v>
      </c>
      <c r="U46" s="132"/>
      <c r="V46" s="132"/>
      <c r="W46" s="132"/>
      <c r="X46" s="132"/>
      <c r="Y46" s="132"/>
      <c r="Z46" s="132"/>
      <c r="AA46" s="3"/>
      <c r="AB46" s="3"/>
      <c r="AC46" s="3"/>
    </row>
    <row r="47" spans="2:32">
      <c r="B47" s="10"/>
      <c r="C47" s="181"/>
      <c r="D47" s="3"/>
      <c r="I47" s="130"/>
      <c r="J47" s="130"/>
      <c r="K47" s="130"/>
      <c r="L47" s="130"/>
      <c r="M47" s="143"/>
      <c r="N47" s="130"/>
      <c r="O47" s="130"/>
      <c r="P47" s="130"/>
      <c r="Q47" s="130"/>
      <c r="R47" s="130"/>
      <c r="S47" s="130"/>
      <c r="T47" s="130"/>
      <c r="U47" s="132"/>
      <c r="V47" s="132"/>
      <c r="W47" s="130"/>
      <c r="X47" s="132"/>
      <c r="Y47" s="130"/>
      <c r="Z47" s="132"/>
      <c r="AA47" s="167"/>
      <c r="AB47" s="167"/>
      <c r="AC47" s="166"/>
      <c r="AD47" s="132"/>
      <c r="AE47" s="132"/>
      <c r="AF47" s="130"/>
    </row>
    <row r="48" spans="2:32">
      <c r="B48" s="10"/>
      <c r="C48" s="181"/>
      <c r="D48" s="3"/>
      <c r="I48" s="130"/>
      <c r="J48" s="130"/>
      <c r="K48" s="130"/>
      <c r="L48" s="130"/>
      <c r="M48" s="126"/>
      <c r="N48" s="127" t="s">
        <v>819</v>
      </c>
      <c r="O48" s="126"/>
      <c r="P48" s="129"/>
      <c r="Q48" s="127" t="s">
        <v>820</v>
      </c>
      <c r="R48" s="126"/>
      <c r="S48" s="129"/>
      <c r="T48" s="153" t="s">
        <v>884</v>
      </c>
      <c r="U48" s="154"/>
      <c r="V48" s="155"/>
      <c r="W48" s="153" t="s">
        <v>885</v>
      </c>
      <c r="X48" s="154"/>
      <c r="Y48" s="155"/>
      <c r="Z48" s="221" t="s">
        <v>917</v>
      </c>
      <c r="AA48" s="167"/>
      <c r="AB48" s="167"/>
      <c r="AC48" s="166"/>
      <c r="AD48" s="132"/>
      <c r="AE48" s="132"/>
      <c r="AF48" s="130"/>
    </row>
    <row r="49" spans="2:32">
      <c r="B49" s="10"/>
      <c r="C49" s="181"/>
      <c r="D49" s="3"/>
      <c r="I49" s="130"/>
      <c r="J49" s="130"/>
      <c r="K49" s="130"/>
      <c r="L49" s="130"/>
      <c r="M49" s="130"/>
      <c r="N49" s="131" t="e">
        <f>IF(N48="","",VLOOKUP(N48,表示電話番号一覧!$C:$F,4,FALSE))</f>
        <v>#N/A</v>
      </c>
      <c r="O49" s="132"/>
      <c r="P49" s="132"/>
      <c r="Q49" s="131" t="e">
        <f>IF(Q48="","",VLOOKUP(Q48,表示電話番号一覧!$C:$F,4,FALSE))</f>
        <v>#N/A</v>
      </c>
      <c r="R49" s="132"/>
      <c r="S49" s="132"/>
      <c r="T49" s="156" t="s">
        <v>822</v>
      </c>
      <c r="U49" s="157"/>
      <c r="V49" s="157"/>
      <c r="W49" s="156" t="s">
        <v>886</v>
      </c>
      <c r="X49" s="157"/>
      <c r="Y49" s="157"/>
      <c r="Z49" s="156" t="s">
        <v>918</v>
      </c>
      <c r="AA49" s="167"/>
      <c r="AB49" s="167"/>
      <c r="AC49" s="166"/>
      <c r="AD49" s="132"/>
      <c r="AE49" s="132"/>
      <c r="AF49" s="130"/>
    </row>
    <row r="50" spans="2:32">
      <c r="B50" s="10"/>
      <c r="C50" s="181"/>
      <c r="D50" s="3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3"/>
      <c r="V50" s="3"/>
      <c r="W50" s="125"/>
      <c r="X50" s="3"/>
      <c r="Y50" s="3"/>
      <c r="Z50" s="166"/>
      <c r="AA50" s="167"/>
      <c r="AB50" s="167"/>
      <c r="AC50" s="166"/>
      <c r="AD50" s="132"/>
      <c r="AE50" s="132"/>
      <c r="AF50" s="130"/>
    </row>
    <row r="51" spans="2:32">
      <c r="B51" s="252" t="s">
        <v>102</v>
      </c>
      <c r="C51" s="252"/>
      <c r="D51" s="252"/>
      <c r="E51" s="252"/>
      <c r="F51" s="252"/>
      <c r="G51" s="252"/>
      <c r="I51" s="4" t="s">
        <v>110</v>
      </c>
      <c r="J51" s="144"/>
      <c r="N51" s="10"/>
      <c r="Q51" s="10"/>
      <c r="T51" s="10"/>
      <c r="W51" s="10"/>
      <c r="Z51" s="10"/>
    </row>
    <row r="52" spans="2:32">
      <c r="B52" s="252" t="s">
        <v>103</v>
      </c>
      <c r="C52" s="252"/>
      <c r="D52" s="252"/>
      <c r="E52" s="252"/>
      <c r="F52" s="252"/>
      <c r="G52" s="252"/>
      <c r="I52" s="145" t="s">
        <v>111</v>
      </c>
      <c r="J52" s="144"/>
      <c r="N52" s="10"/>
      <c r="Q52" s="10"/>
      <c r="T52" s="10"/>
      <c r="W52" s="10"/>
      <c r="Z52" s="10"/>
    </row>
    <row r="53" spans="2:32">
      <c r="I53" s="145" t="s">
        <v>107</v>
      </c>
      <c r="J53" s="144"/>
      <c r="N53" s="10"/>
      <c r="Q53" s="10"/>
      <c r="T53" s="10"/>
      <c r="W53" s="10"/>
      <c r="Z53" s="10"/>
    </row>
  </sheetData>
  <autoFilter ref="K12:T13"/>
  <mergeCells count="10">
    <mergeCell ref="G39:H39"/>
    <mergeCell ref="G40:H40"/>
    <mergeCell ref="B51:G51"/>
    <mergeCell ref="B52:G52"/>
    <mergeCell ref="G3:H3"/>
    <mergeCell ref="G4:H4"/>
    <mergeCell ref="B18:D18"/>
    <mergeCell ref="G18:H18"/>
    <mergeCell ref="B19:D19"/>
    <mergeCell ref="G19:H19"/>
  </mergeCells>
  <phoneticPr fontId="18"/>
  <pageMargins left="0.15748031496062992" right="0.15748031496062992" top="0.35433070866141736" bottom="0.15748031496062992" header="0.31496062992125984" footer="0.15748031496062992"/>
  <pageSetup paperSize="9" scale="85" orientation="landscape" r:id="rId1"/>
  <headerFooter>
    <oddHeader>&amp;C&amp;"-,太字"&amp;16エムエムインターナショナル　連絡網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連絡網_201801</vt:lpstr>
      <vt:lpstr>拠点責任者</vt:lpstr>
      <vt:lpstr>表示電話番号一覧</vt:lpstr>
      <vt:lpstr>Sheet1</vt:lpstr>
      <vt:lpstr>（参考）連絡網201704 </vt:lpstr>
      <vt:lpstr>（参考）連絡網201710</vt:lpstr>
      <vt:lpstr>'（参考）連絡網201710'!Print_Area</vt:lpstr>
      <vt:lpstr>連絡網_201801!Print_Area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tokyo333</dc:creator>
  <cp:lastModifiedBy>user</cp:lastModifiedBy>
  <cp:lastPrinted>2018-01-09T04:52:41Z</cp:lastPrinted>
  <dcterms:created xsi:type="dcterms:W3CDTF">2016-03-29T07:19:21Z</dcterms:created>
  <dcterms:modified xsi:type="dcterms:W3CDTF">2018-05-16T05:36:56Z</dcterms:modified>
</cp:coreProperties>
</file>